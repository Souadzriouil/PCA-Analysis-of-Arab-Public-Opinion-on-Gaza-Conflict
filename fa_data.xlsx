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au1" sheetId="1" r:id="rId5"/>
    <sheet state="visible" name="PCA" sheetId="2" r:id="rId6"/>
    <sheet state="hidden" name="XLSTAT_20240210_000110_1_HID3" sheetId="3" r:id="rId7"/>
    <sheet state="hidden" name="XLSTAT_20240210_000110_1_HID2" sheetId="4" r:id="rId8"/>
    <sheet state="hidden" name="XLSTAT_20240210_000110_1_HID1" sheetId="5" r:id="rId9"/>
    <sheet state="hidden" name="XLSTAT_20240210_000110_1_HID" sheetId="6" r:id="rId10"/>
  </sheets>
  <definedNames>
    <definedName localSheetId="1" name="tab20240210_000110_RunProcPCA_1_2983">PCA!$B$208:$G$224</definedName>
    <definedName localSheetId="1" name="tab20240210_000110_RunProcPCA_1_2982">PCA!$B$117:$G$125</definedName>
    <definedName localSheetId="1" name="tab20240210_000110_RunProcPCA_1_86">PCA!$B$84:$G$92</definedName>
    <definedName localSheetId="1" name="tab20240210_000110_RunProcPCA_1_2984">PCA!$B$130:$G$138</definedName>
    <definedName localSheetId="1" name="tab20240210_000110_RunProcPCA_1_75">PCA!$B$71:$G$79</definedName>
    <definedName localSheetId="4" name="xcirclez1">XLSTAT_20240210_000110_1_HID1!$C$1:$C$500</definedName>
    <definedName localSheetId="1" name="tab20240210_000110_RunProcPCA_2_76">PCA!$B$259:$G$275</definedName>
    <definedName localSheetId="1" name="tab20240210_000110_RunProcPCA_1_76">PCA!$B$144:$G$160</definedName>
    <definedName localSheetId="0" name="DonnéesExternes_1">Tableau1!$A$1:$I$17</definedName>
    <definedName localSheetId="4" name="ycirclez1">XLSTAT_20240210_000110_1_HID1!$D$1:$D$500</definedName>
  </definedNames>
  <calcPr/>
</workbook>
</file>

<file path=xl/sharedStrings.xml><?xml version="1.0" encoding="utf-8"?>
<sst xmlns="http://schemas.openxmlformats.org/spreadsheetml/2006/main" count="211" uniqueCount="82">
  <si>
    <t>Pays</t>
  </si>
  <si>
    <t>Soutien militaire et politique des États-Unis</t>
  </si>
  <si>
    <t>Le manque d'action décisive des gouvernements arabes envers Israël</t>
  </si>
  <si>
    <t>Accords de normalisation</t>
  </si>
  <si>
    <t>Le soutien des gouvernements occidentaux à Israël</t>
  </si>
  <si>
    <t>Le manque d'action décisive de l'ONU envers Israël</t>
  </si>
  <si>
    <t>Le manque de positions pratiques de l'Autorité palestinienne contre Israël</t>
  </si>
  <si>
    <t>Autre</t>
  </si>
  <si>
    <t>Je ne sais pas/J'ai refusé de répondre</t>
  </si>
  <si>
    <t>Palestine/Cisjordanie</t>
  </si>
  <si>
    <t>Mauritanie</t>
  </si>
  <si>
    <t>Qatar</t>
  </si>
  <si>
    <t>Liban</t>
  </si>
  <si>
    <t>Maroc</t>
  </si>
  <si>
    <t>Algérie</t>
  </si>
  <si>
    <t>Koweït</t>
  </si>
  <si>
    <t>Jordanie</t>
  </si>
  <si>
    <t>Tunisie</t>
  </si>
  <si>
    <t>Oman</t>
  </si>
  <si>
    <t>Libye</t>
  </si>
  <si>
    <t>Egypt</t>
  </si>
  <si>
    <t>Yemen</t>
  </si>
  <si>
    <t>Arabie saoudite</t>
  </si>
  <si>
    <t>Irak</t>
  </si>
  <si>
    <t>Soudan</t>
  </si>
  <si>
    <t>You are using the XLSTAT trial version. Number of days remaining until the trial expires: 7</t>
  </si>
  <si>
    <r>
      <rPr>
        <rFont val="Calibri"/>
        <color theme="1"/>
      </rPr>
      <t>XLSTAT 2023.3.0.1415 - Principal Component Analysis (PCA) - Start time: 10/02/2024 at 00:01:24 / End time: 10/02/2024 at 00:01:37</t>
    </r>
    <r>
      <rPr>
        <rFont val="Calibri"/>
        <color rgb="FFFFFFFF"/>
        <sz val="11.0"/>
      </rPr>
      <t xml:space="preserve"> / Microsoft Excel 16.017231</t>
    </r>
  </si>
  <si>
    <t>Observations/variables table: Workbook = fa_data.xlsx / Sheet = Tableau1 / Range = Tableau1!$B$1:$I$17 / 16 rows and 8 columns</t>
  </si>
  <si>
    <t>PCA type: Correlation</t>
  </si>
  <si>
    <t>Filter factors: Maximum number = 5</t>
  </si>
  <si>
    <t>Standardisation: (n)</t>
  </si>
  <si>
    <t>Type of biplot: Distance biplot / Coefficient = Automatic</t>
  </si>
  <si>
    <t>Summary statistics:</t>
  </si>
  <si>
    <t>Variable</t>
  </si>
  <si>
    <t>Observations</t>
  </si>
  <si>
    <t>Obs. with missing data</t>
  </si>
  <si>
    <t>Obs. without missing data</t>
  </si>
  <si>
    <t>Minimum</t>
  </si>
  <si>
    <t>Maximum</t>
  </si>
  <si>
    <t>Mean</t>
  </si>
  <si>
    <t>Std. deviation</t>
  </si>
  <si>
    <t>Principal Component Analysis:</t>
  </si>
  <si>
    <t>Eigenvalues:</t>
  </si>
  <si>
    <t>F1</t>
  </si>
  <si>
    <t>F2</t>
  </si>
  <si>
    <t>F3</t>
  </si>
  <si>
    <t>F4</t>
  </si>
  <si>
    <t>F5</t>
  </si>
  <si>
    <t>F6</t>
  </si>
  <si>
    <t>F7</t>
  </si>
  <si>
    <t>Eigenvalue</t>
  </si>
  <si>
    <t>Variability (%)</t>
  </si>
  <si>
    <t>Cumulative %</t>
  </si>
  <si>
    <t xml:space="preserve"> </t>
  </si>
  <si>
    <t>Eigenvectors:</t>
  </si>
  <si>
    <t>Factor loadings:</t>
  </si>
  <si>
    <t>Correlations between variables and factors:</t>
  </si>
  <si>
    <t>Contribution of the variables (%):</t>
  </si>
  <si>
    <t>Squared cosines of the variables:</t>
  </si>
  <si>
    <t>Values in bold correspond for each variable to the factor for which the squared cosine is the largest</t>
  </si>
  <si>
    <t>Factor scores:</t>
  </si>
  <si>
    <t>Obs1</t>
  </si>
  <si>
    <t>Obs2</t>
  </si>
  <si>
    <t>Obs3</t>
  </si>
  <si>
    <t>Obs4</t>
  </si>
  <si>
    <t>Obs5</t>
  </si>
  <si>
    <t>Obs6</t>
  </si>
  <si>
    <t>Obs7</t>
  </si>
  <si>
    <t>Obs8</t>
  </si>
  <si>
    <t>Obs9</t>
  </si>
  <si>
    <t>Obs10</t>
  </si>
  <si>
    <t>Obs11</t>
  </si>
  <si>
    <t>Obs12</t>
  </si>
  <si>
    <t>Obs13</t>
  </si>
  <si>
    <t>Obs14</t>
  </si>
  <si>
    <t>Obs15</t>
  </si>
  <si>
    <t>Obs16</t>
  </si>
  <si>
    <t>Contribution of the observations (%):</t>
  </si>
  <si>
    <t>Axes homogeneity index:</t>
  </si>
  <si>
    <t>Value</t>
  </si>
  <si>
    <t>Squared cosines of the observations:</t>
  </si>
  <si>
    <t>Values in bold correspond for each observation to the factor for which the squared cosine is the largest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</si>
</sst>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9">
    <font>
      <sz val="11.0"/>
      <color theme="1"/>
      <name val="Calibri"/>
      <scheme val="minor"/>
    </font>
    <font>
      <color theme="1"/>
      <name val="Calibri"/>
      <scheme val="minor"/>
    </font>
    <font>
      <b/>
      <sz val="11.0"/>
      <color rgb="FFFFFFFF"/>
      <name val="Calibri"/>
    </font>
    <font/>
    <font>
      <sz val="11.0"/>
      <color rgb="FFFFFFFF"/>
      <name val="Calibri"/>
    </font>
    <font>
      <sz val="11.0"/>
      <color theme="1"/>
      <name val="Calibri"/>
    </font>
    <font>
      <sz val="11.0"/>
      <color rgb="FF010000"/>
      <name val="Calibri"/>
    </font>
    <font>
      <b/>
      <sz val="11.0"/>
      <color theme="1"/>
      <name val="Calibri"/>
    </font>
    <font>
      <i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95217"/>
        <bgColor rgb="FFC95217"/>
      </patternFill>
    </fill>
  </fills>
  <borders count="11">
    <border/>
    <border>
      <left/>
      <top/>
    </border>
    <border>
      <top/>
    </border>
    <border>
      <right/>
      <top/>
    </border>
    <border>
      <left/>
      <right/>
      <top/>
      <bottom/>
    </border>
    <border>
      <left/>
      <bottom/>
    </border>
    <border>
      <bottom/>
    </border>
    <border>
      <right/>
      <bottom/>
    </border>
    <border>
      <top style="medium">
        <color rgb="FF000000"/>
      </top>
    </border>
    <border>
      <top style="thin">
        <color rgb="FF000000"/>
      </top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2" fontId="4" numFmtId="0" xfId="0" applyAlignment="1" applyBorder="1" applyFont="1">
      <alignment vertical="center"/>
    </xf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0" fillId="0" fontId="1" numFmtId="0" xfId="0" applyFont="1"/>
    <xf borderId="0" fillId="0" fontId="5" numFmtId="0" xfId="0" applyFont="1"/>
    <xf borderId="8" fillId="0" fontId="5" numFmtId="0" xfId="0" applyAlignment="1" applyBorder="1" applyFont="1">
      <alignment horizontal="center" shrinkToFit="0" vertical="center" wrapText="1"/>
    </xf>
    <xf borderId="8" fillId="0" fontId="5" numFmtId="49" xfId="0" applyAlignment="1" applyBorder="1" applyFont="1" applyNumberFormat="1">
      <alignment horizontal="center" shrinkToFit="0" vertical="center" wrapText="1"/>
    </xf>
    <xf borderId="9" fillId="0" fontId="6" numFmtId="49" xfId="0" applyBorder="1" applyFont="1" applyNumberFormat="1"/>
    <xf borderId="9" fillId="0" fontId="6" numFmtId="0" xfId="0" applyAlignment="1" applyBorder="1" applyFont="1">
      <alignment horizontal="center"/>
    </xf>
    <xf borderId="9" fillId="0" fontId="6" numFmtId="164" xfId="0" applyAlignment="1" applyBorder="1" applyFont="1" applyNumberFormat="1">
      <alignment horizontal="center"/>
    </xf>
    <xf borderId="0" fillId="0" fontId="6" numFmtId="49" xfId="0" applyFont="1" applyNumberFormat="1"/>
    <xf borderId="0" fillId="0" fontId="6" numFmtId="0" xfId="0" applyAlignment="1" applyFont="1">
      <alignment horizontal="center"/>
    </xf>
    <xf borderId="0" fillId="0" fontId="6" numFmtId="164" xfId="0" applyAlignment="1" applyFont="1" applyNumberFormat="1">
      <alignment horizontal="center"/>
    </xf>
    <xf borderId="10" fillId="0" fontId="6" numFmtId="49" xfId="0" applyBorder="1" applyFont="1" applyNumberFormat="1"/>
    <xf borderId="10" fillId="0" fontId="6" numFmtId="0" xfId="0" applyAlignment="1" applyBorder="1" applyFont="1">
      <alignment horizontal="center"/>
    </xf>
    <xf borderId="10" fillId="0" fontId="6" numFmtId="164" xfId="0" applyAlignment="1" applyBorder="1" applyFont="1" applyNumberFormat="1">
      <alignment horizontal="center"/>
    </xf>
    <xf borderId="0" fillId="0" fontId="7" numFmtId="0" xfId="0" applyFont="1"/>
    <xf borderId="9" fillId="0" fontId="5" numFmtId="49" xfId="0" applyBorder="1" applyFont="1" applyNumberFormat="1"/>
    <xf borderId="9" fillId="0" fontId="5" numFmtId="164" xfId="0" applyAlignment="1" applyBorder="1" applyFont="1" applyNumberFormat="1">
      <alignment horizontal="center"/>
    </xf>
    <xf borderId="0" fillId="0" fontId="5" numFmtId="49" xfId="0" applyFont="1" applyNumberFormat="1"/>
    <xf borderId="0" fillId="0" fontId="5" numFmtId="164" xfId="0" applyAlignment="1" applyFont="1" applyNumberFormat="1">
      <alignment horizontal="center"/>
    </xf>
    <xf borderId="10" fillId="0" fontId="5" numFmtId="49" xfId="0" applyBorder="1" applyFont="1" applyNumberFormat="1"/>
    <xf borderId="10" fillId="0" fontId="5" numFmtId="164" xfId="0" applyAlignment="1" applyBorder="1" applyFont="1" applyNumberFormat="1">
      <alignment horizontal="center"/>
    </xf>
    <xf borderId="9" fillId="0" fontId="7" numFmtId="164" xfId="0" applyAlignment="1" applyBorder="1" applyFont="1" applyNumberFormat="1">
      <alignment horizontal="center"/>
    </xf>
    <xf borderId="0" fillId="0" fontId="7" numFmtId="164" xfId="0" applyAlignment="1" applyFont="1" applyNumberFormat="1">
      <alignment horizontal="center"/>
    </xf>
    <xf borderId="10" fillId="0" fontId="7" numFmtId="164" xfId="0" applyAlignment="1" applyBorder="1" applyFont="1" applyNumberFormat="1">
      <alignment horizontal="center"/>
    </xf>
    <xf borderId="0" fillId="0" fontId="8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FDE9D9"/>
          <bgColor rgb="FFFDE9D9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</dxfs>
  <tableStyles count="1">
    <tableStyle count="3" pivot="0" name="Tableau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900">
                <a:solidFill>
                  <a:srgbClr val="757575"/>
                </a:solidFill>
                <a:latin typeface="Arial"/>
              </a:defRPr>
            </a:pPr>
            <a:r>
              <a:rPr b="1" i="0" sz="900">
                <a:solidFill>
                  <a:srgbClr val="757575"/>
                </a:solidFill>
                <a:latin typeface="Arial"/>
              </a:rPr>
              <a:t>Scree plot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Eigenvalue</c:v>
          </c:tx>
          <c:spPr>
            <a:solidFill>
              <a:srgbClr val="2A7498"/>
            </a:solidFill>
            <a:ln cmpd="sng">
              <a:solidFill>
                <a:srgbClr val="000000"/>
              </a:solidFill>
            </a:ln>
          </c:spPr>
          <c:cat>
            <c:strRef>
              <c:f>PCA!$C$30:$I$30</c:f>
            </c:strRef>
          </c:cat>
          <c:val>
            <c:numRef>
              <c:f>PCA!$C$31:$I$31</c:f>
              <c:numCache/>
            </c:numRef>
          </c:val>
        </c:ser>
        <c:axId val="1309710159"/>
        <c:axId val="347969478"/>
      </c:barChart>
      <c:lineChart>
        <c:varyColors val="0"/>
        <c:ser>
          <c:idx val="1"/>
          <c:order val="1"/>
          <c:tx>
            <c:v>Cumulative %</c:v>
          </c:tx>
          <c:spPr>
            <a:ln cmpd="sng">
              <a:solidFill>
                <a:srgbClr val="FF0000">
                  <a:alpha val="100000"/>
                </a:srgbClr>
              </a:solidFill>
              <a:prstDash val="solid"/>
            </a:ln>
          </c:spPr>
          <c:marker>
            <c:symbol val="circle"/>
            <c:size val="3"/>
            <c:spPr>
              <a:solidFill>
                <a:srgbClr val="FF0000">
                  <a:alpha val="100000"/>
                </a:srgbClr>
              </a:solidFill>
              <a:ln cmpd="sng">
                <a:solidFill>
                  <a:srgbClr val="FF0000">
                    <a:alpha val="100000"/>
                  </a:srgbClr>
                </a:solidFill>
              </a:ln>
            </c:spPr>
          </c:marker>
          <c:cat>
            <c:strRef>
              <c:f>PCA!$C$30:$I$30</c:f>
            </c:strRef>
          </c:cat>
          <c:val>
            <c:numRef>
              <c:f>PCA!$C$33:$I$33</c:f>
              <c:numCache/>
            </c:numRef>
          </c:val>
          <c:smooth val="0"/>
        </c:ser>
        <c:axId val="1309710159"/>
        <c:axId val="347969478"/>
      </c:lineChart>
      <c:catAx>
        <c:axId val="13097101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8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800">
                    <a:solidFill>
                      <a:srgbClr val="000000"/>
                    </a:solidFill>
                    <a:latin typeface="Arial"/>
                  </a:rPr>
                  <a:t>axis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 rot="0"/>
          <a:lstStyle/>
          <a:p>
            <a:pPr lvl="0">
              <a:defRPr b="1" i="0" sz="700">
                <a:solidFill>
                  <a:srgbClr val="000000"/>
                </a:solidFill>
                <a:latin typeface="+mn-lt"/>
              </a:defRPr>
            </a:pPr>
          </a:p>
        </c:txPr>
        <c:crossAx val="347969478"/>
      </c:catAx>
      <c:valAx>
        <c:axId val="347969478"/>
        <c:scaling>
          <c:orientation val="minMax"/>
          <c:min val="0.0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 sz="8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800">
                    <a:solidFill>
                      <a:srgbClr val="000000"/>
                    </a:solidFill>
                    <a:latin typeface="Arial"/>
                  </a:rPr>
                  <a:t>Eigenvalue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1" i="0" sz="700">
                <a:solidFill>
                  <a:srgbClr val="000000"/>
                </a:solidFill>
                <a:latin typeface="+mn-lt"/>
              </a:defRPr>
            </a:pPr>
          </a:p>
        </c:txPr>
        <c:crossAx val="1309710159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900">
                <a:solidFill>
                  <a:srgbClr val="757575"/>
                </a:solidFill>
                <a:latin typeface="Arial"/>
              </a:defRPr>
            </a:pPr>
            <a:r>
              <a:rPr b="1" i="0" sz="900">
                <a:solidFill>
                  <a:srgbClr val="757575"/>
                </a:solidFill>
                <a:latin typeface="Arial"/>
              </a:rPr>
              <a:t>Variables (axes F1 and F2: 66,43 %)</a:t>
            </a:r>
          </a:p>
        </c:rich>
      </c:tx>
      <c:overlay val="0"/>
    </c:title>
    <c:plotArea>
      <c:layout>
        <c:manualLayout>
          <c:xMode val="edge"/>
          <c:yMode val="edge"/>
          <c:x val="0.05055570639876912"/>
          <c:y val="0.07795034241409479"/>
          <c:w val="0.9264557878541043"/>
          <c:h val="0.7646927323739705"/>
        </c:manualLayout>
      </c:layout>
      <c:scatterChart>
        <c:scatterStyle val="lineMarker"/>
        <c:varyColors val="0"/>
        <c:ser>
          <c:idx val="0"/>
          <c:order val="0"/>
          <c:tx>
            <c:v>Active variables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FF4A46"/>
              </a:solidFill>
              <a:ln cmpd="sng">
                <a:solidFill>
                  <a:srgbClr val="FF4A46"/>
                </a:solidFill>
              </a:ln>
            </c:spPr>
          </c:marker>
          <c:dPt>
            <c:idx val="0"/>
            <c:marker>
              <c:symbol val="none"/>
            </c:marker>
          </c:dPt>
          <c:dPt>
            <c:idx val="1"/>
            <c:marker>
              <c:symbol val="none"/>
            </c:marker>
          </c:dPt>
          <c:dPt>
            <c:idx val="2"/>
            <c:marker>
              <c:symbol val="none"/>
            </c:marker>
          </c:dPt>
          <c:dPt>
            <c:idx val="3"/>
            <c:marker>
              <c:symbol val="none"/>
            </c:marker>
          </c:dPt>
          <c:dPt>
            <c:idx val="4"/>
            <c:marker>
              <c:symbol val="none"/>
            </c:marker>
          </c:dPt>
          <c:dPt>
            <c:idx val="5"/>
            <c:marker>
              <c:symbol val="none"/>
            </c:marker>
          </c:dPt>
          <c:dPt>
            <c:idx val="6"/>
            <c:marker>
              <c:symbol val="none"/>
            </c:marker>
          </c:dPt>
          <c:dPt>
            <c:idx val="7"/>
            <c:marker>
              <c:symbol val="none"/>
            </c:marker>
          </c:dPt>
          <c:xVal>
            <c:numRef>
              <c:f>XLSTAT_20240210_000110_1_HID!$A$1:$A$8</c:f>
            </c:numRef>
          </c:xVal>
          <c:yVal>
            <c:numRef>
              <c:f>XLSTAT_20240210_000110_1_HID!$B$1:$B$8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7663275"/>
        <c:axId val="1527733396"/>
      </c:scatterChart>
      <c:valAx>
        <c:axId val="1267663275"/>
        <c:scaling>
          <c:orientation val="minMax"/>
          <c:max val="1.0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8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800">
                    <a:solidFill>
                      <a:srgbClr val="000000"/>
                    </a:solidFill>
                    <a:latin typeface="Arial"/>
                  </a:rPr>
                  <a:t>F1 (38,63 %)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 rot="0"/>
          <a:lstStyle/>
          <a:p>
            <a:pPr lvl="0">
              <a:defRPr b="1" i="0" sz="700">
                <a:solidFill>
                  <a:srgbClr val="000000"/>
                </a:solidFill>
                <a:latin typeface="+mn-lt"/>
              </a:defRPr>
            </a:pPr>
          </a:p>
        </c:txPr>
        <c:crossAx val="1527733396"/>
        <c:majorUnit val="0.25"/>
      </c:valAx>
      <c:valAx>
        <c:axId val="1527733396"/>
        <c:scaling>
          <c:orientation val="minMax"/>
          <c:max val="1.0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 sz="8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800">
                    <a:solidFill>
                      <a:srgbClr val="000000"/>
                    </a:solidFill>
                    <a:latin typeface="Arial"/>
                  </a:rPr>
                  <a:t>F2 (27,80 %)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1" i="0" sz="700">
                <a:solidFill>
                  <a:srgbClr val="000000"/>
                </a:solidFill>
                <a:latin typeface="+mn-lt"/>
              </a:defRPr>
            </a:pPr>
          </a:p>
        </c:txPr>
        <c:crossAx val="1267663275"/>
        <c:majorUnit val="0.25"/>
      </c:valAx>
    </c:plotArea>
    <c:legend>
      <c:legendPos val="b"/>
      <c:layout>
        <c:manualLayout>
          <c:xMode val="edge"/>
          <c:yMode val="edge"/>
          <c:x val="0.34196473810338923"/>
          <c:y val="0.9123558693094398"/>
        </c:manualLayout>
      </c:layout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900">
                <a:solidFill>
                  <a:srgbClr val="757575"/>
                </a:solidFill>
                <a:latin typeface="Arial"/>
              </a:defRPr>
            </a:pPr>
            <a:r>
              <a:rPr b="1" i="0" sz="900">
                <a:solidFill>
                  <a:srgbClr val="757575"/>
                </a:solidFill>
                <a:latin typeface="Arial"/>
              </a:rPr>
              <a:t>Observations (axes F1 and F2: 66,43 %)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Active observations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2A7498"/>
              </a:solidFill>
              <a:ln cmpd="sng">
                <a:solidFill>
                  <a:srgbClr val="2A7498"/>
                </a:solidFill>
              </a:ln>
            </c:spPr>
          </c:marker>
          <c:dPt>
            <c:idx val="0"/>
            <c:marker>
              <c:symbol val="none"/>
            </c:marker>
          </c:dPt>
          <c:dPt>
            <c:idx val="1"/>
            <c:marker>
              <c:symbol val="none"/>
            </c:marker>
          </c:dPt>
          <c:dPt>
            <c:idx val="2"/>
            <c:marker>
              <c:symbol val="none"/>
            </c:marker>
          </c:dPt>
          <c:dPt>
            <c:idx val="3"/>
            <c:marker>
              <c:symbol val="none"/>
            </c:marker>
          </c:dPt>
          <c:dPt>
            <c:idx val="4"/>
            <c:marker>
              <c:symbol val="none"/>
            </c:marker>
          </c:dPt>
          <c:dPt>
            <c:idx val="5"/>
            <c:marker>
              <c:symbol val="none"/>
            </c:marker>
          </c:dPt>
          <c:dPt>
            <c:idx val="6"/>
            <c:marker>
              <c:symbol val="none"/>
            </c:marker>
          </c:dPt>
          <c:dPt>
            <c:idx val="7"/>
            <c:marker>
              <c:symbol val="none"/>
            </c:marker>
          </c:dPt>
          <c:dPt>
            <c:idx val="8"/>
            <c:marker>
              <c:symbol val="none"/>
            </c:marker>
          </c:dPt>
          <c:dPt>
            <c:idx val="9"/>
            <c:marker>
              <c:symbol val="none"/>
            </c:marker>
          </c:dPt>
          <c:dPt>
            <c:idx val="10"/>
            <c:marker>
              <c:symbol val="none"/>
            </c:marker>
          </c:dPt>
          <c:dPt>
            <c:idx val="11"/>
            <c:marker>
              <c:symbol val="none"/>
            </c:marker>
          </c:dPt>
          <c:dPt>
            <c:idx val="12"/>
            <c:marker>
              <c:symbol val="none"/>
            </c:marker>
          </c:dPt>
          <c:dPt>
            <c:idx val="13"/>
            <c:marker>
              <c:symbol val="none"/>
            </c:marker>
          </c:dPt>
          <c:dPt>
            <c:idx val="14"/>
            <c:marker>
              <c:symbol val="none"/>
            </c:marker>
          </c:dPt>
          <c:dPt>
            <c:idx val="15"/>
            <c:marker>
              <c:symbol val="none"/>
            </c:marker>
          </c:dPt>
          <c:xVal>
            <c:numRef>
              <c:f>XLSTAT_20240210_000110_1_HID2!$A$1:$A$16</c:f>
            </c:numRef>
          </c:xVal>
          <c:yVal>
            <c:numRef>
              <c:f>XLSTAT_20240210_000110_1_HID2!$B$1:$B$16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4434308"/>
        <c:axId val="654589523"/>
      </c:scatterChart>
      <c:valAx>
        <c:axId val="18144343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8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800">
                    <a:solidFill>
                      <a:srgbClr val="000000"/>
                    </a:solidFill>
                    <a:latin typeface="Arial"/>
                  </a:rPr>
                  <a:t>F1 (38,63 %)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 rot="0"/>
          <a:lstStyle/>
          <a:p>
            <a:pPr lvl="0">
              <a:defRPr b="1" i="0" sz="700">
                <a:solidFill>
                  <a:srgbClr val="000000"/>
                </a:solidFill>
                <a:latin typeface="+mn-lt"/>
              </a:defRPr>
            </a:pPr>
          </a:p>
        </c:txPr>
        <c:crossAx val="654589523"/>
      </c:valAx>
      <c:valAx>
        <c:axId val="65458952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 sz="8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800">
                    <a:solidFill>
                      <a:srgbClr val="000000"/>
                    </a:solidFill>
                    <a:latin typeface="Arial"/>
                  </a:rPr>
                  <a:t>F2 (27,80 %)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1" i="0" sz="700">
                <a:solidFill>
                  <a:srgbClr val="000000"/>
                </a:solidFill>
                <a:latin typeface="+mn-lt"/>
              </a:defRPr>
            </a:pPr>
          </a:p>
        </c:txPr>
        <c:crossAx val="1814434308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900">
                <a:solidFill>
                  <a:srgbClr val="757575"/>
                </a:solidFill>
                <a:latin typeface="Arial"/>
              </a:defRPr>
            </a:pPr>
            <a:r>
              <a:rPr b="1" i="0" sz="900">
                <a:solidFill>
                  <a:srgbClr val="757575"/>
                </a:solidFill>
                <a:latin typeface="Arial"/>
              </a:rPr>
              <a:t>Biplot (axes F1 and F2: 66,43 %)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Active variables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FF4A46"/>
              </a:solidFill>
              <a:ln cmpd="sng">
                <a:solidFill>
                  <a:srgbClr val="FF4A46"/>
                </a:solidFill>
              </a:ln>
            </c:spPr>
          </c:marker>
          <c:dPt>
            <c:idx val="0"/>
            <c:marker>
              <c:symbol val="none"/>
            </c:marker>
          </c:dPt>
          <c:dPt>
            <c:idx val="1"/>
            <c:marker>
              <c:symbol val="none"/>
            </c:marker>
          </c:dPt>
          <c:dPt>
            <c:idx val="2"/>
            <c:marker>
              <c:symbol val="none"/>
            </c:marker>
          </c:dPt>
          <c:dPt>
            <c:idx val="3"/>
            <c:marker>
              <c:symbol val="none"/>
            </c:marker>
          </c:dPt>
          <c:dPt>
            <c:idx val="4"/>
            <c:marker>
              <c:symbol val="none"/>
            </c:marker>
          </c:dPt>
          <c:dPt>
            <c:idx val="5"/>
            <c:marker>
              <c:symbol val="none"/>
            </c:marker>
          </c:dPt>
          <c:dPt>
            <c:idx val="6"/>
            <c:marker>
              <c:symbol val="none"/>
            </c:marker>
          </c:dPt>
          <c:dPt>
            <c:idx val="7"/>
            <c:marker>
              <c:symbol val="none"/>
            </c:marker>
          </c:dPt>
          <c:xVal>
            <c:numRef>
              <c:f>XLSTAT_20240210_000110_1_HID3!$A$1:$A$8</c:f>
            </c:numRef>
          </c:xVal>
          <c:yVal>
            <c:numRef>
              <c:f>XLSTAT_20240210_000110_1_HID3!$B$1:$B$8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5588258"/>
        <c:axId val="1820280724"/>
      </c:scatterChart>
      <c:valAx>
        <c:axId val="13655882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8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800">
                    <a:solidFill>
                      <a:srgbClr val="000000"/>
                    </a:solidFill>
                    <a:latin typeface="Arial"/>
                  </a:rPr>
                  <a:t>F1 (38,63 %)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 rot="0"/>
          <a:lstStyle/>
          <a:p>
            <a:pPr lvl="0">
              <a:defRPr b="1" i="0" sz="700">
                <a:solidFill>
                  <a:srgbClr val="000000"/>
                </a:solidFill>
                <a:latin typeface="+mn-lt"/>
              </a:defRPr>
            </a:pPr>
          </a:p>
        </c:txPr>
        <c:crossAx val="1820280724"/>
      </c:valAx>
      <c:valAx>
        <c:axId val="182028072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 sz="8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800">
                    <a:solidFill>
                      <a:srgbClr val="000000"/>
                    </a:solidFill>
                    <a:latin typeface="Arial"/>
                  </a:rPr>
                  <a:t>F2 (27,80 %)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1" i="0" sz="700">
                <a:solidFill>
                  <a:srgbClr val="000000"/>
                </a:solidFill>
                <a:latin typeface="+mn-lt"/>
              </a:defRPr>
            </a:pPr>
          </a:p>
        </c:txPr>
        <c:crossAx val="1365588258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900">
                <a:solidFill>
                  <a:srgbClr val="757575"/>
                </a:solidFill>
                <a:latin typeface="Arial"/>
              </a:defRPr>
            </a:pPr>
            <a:r>
              <a:rPr b="1" i="0" sz="900">
                <a:solidFill>
                  <a:srgbClr val="757575"/>
                </a:solidFill>
                <a:latin typeface="Arial"/>
              </a:rPr>
              <a:t>Axes homogeneity index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Value</c:v>
          </c:tx>
          <c:spPr>
            <a:solidFill>
              <a:srgbClr val="2A7498"/>
            </a:solidFill>
            <a:ln cmpd="sng">
              <a:solidFill>
                <a:srgbClr val="000000"/>
              </a:solidFill>
            </a:ln>
          </c:spPr>
          <c:cat>
            <c:strRef>
              <c:f>PCA!$B$230:$B$234</c:f>
            </c:strRef>
          </c:cat>
          <c:val>
            <c:numRef>
              <c:f>PCA!$C$230:$C$234</c:f>
              <c:numCache/>
            </c:numRef>
          </c:val>
        </c:ser>
        <c:axId val="547944819"/>
        <c:axId val="1314200801"/>
      </c:barChart>
      <c:catAx>
        <c:axId val="5479448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8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800">
                    <a:solidFill>
                      <a:srgbClr val="000000"/>
                    </a:solidFill>
                    <a:latin typeface="Arial"/>
                  </a:rPr>
                  <a:t>axis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spPr/>
        <c:txPr>
          <a:bodyPr rot="0"/>
          <a:lstStyle/>
          <a:p>
            <a:pPr lvl="0">
              <a:defRPr b="1" i="0" sz="700">
                <a:solidFill>
                  <a:srgbClr val="000000"/>
                </a:solidFill>
                <a:latin typeface="+mn-lt"/>
              </a:defRPr>
            </a:pPr>
          </a:p>
        </c:txPr>
        <c:crossAx val="1314200801"/>
      </c:catAx>
      <c:valAx>
        <c:axId val="1314200801"/>
        <c:scaling>
          <c:orientation val="minMax"/>
          <c:min val="0.0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 sz="8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800">
                    <a:solidFill>
                      <a:srgbClr val="000000"/>
                    </a:solidFill>
                    <a:latin typeface="Arial"/>
                  </a:rPr>
                  <a:t>Value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1" i="0" sz="700">
                <a:solidFill>
                  <a:srgbClr val="000000"/>
                </a:solidFill>
                <a:latin typeface="+mn-lt"/>
              </a:defRPr>
            </a:pPr>
          </a:p>
        </c:txPr>
        <c:crossAx val="547944819"/>
      </c:valAx>
    </c:plotArea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11" Type="http://schemas.openxmlformats.org/officeDocument/2006/relationships/image" Target="../media/image7.png"/><Relationship Id="rId10" Type="http://schemas.openxmlformats.org/officeDocument/2006/relationships/image" Target="../media/image3.png"/><Relationship Id="rId12" Type="http://schemas.openxmlformats.org/officeDocument/2006/relationships/image" Target="../media/image4.png"/><Relationship Id="rId9" Type="http://schemas.openxmlformats.org/officeDocument/2006/relationships/image" Target="../media/image2.png"/><Relationship Id="rId5" Type="http://schemas.openxmlformats.org/officeDocument/2006/relationships/chart" Target="../charts/chart5.xml"/><Relationship Id="rId6" Type="http://schemas.openxmlformats.org/officeDocument/2006/relationships/image" Target="../media/image6.png"/><Relationship Id="rId7" Type="http://schemas.openxmlformats.org/officeDocument/2006/relationships/image" Target="../media/image5.png"/><Relationship Id="rId8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35</xdr:row>
      <xdr:rowOff>0</xdr:rowOff>
    </xdr:from>
    <xdr:ext cx="3571875" cy="325755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0</xdr:colOff>
      <xdr:row>94</xdr:row>
      <xdr:rowOff>0</xdr:rowOff>
    </xdr:from>
    <xdr:ext cx="2771775" cy="325755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0</xdr:colOff>
      <xdr:row>165</xdr:row>
      <xdr:rowOff>0</xdr:rowOff>
    </xdr:from>
    <xdr:ext cx="3571875" cy="3257550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</xdr:col>
      <xdr:colOff>0</xdr:colOff>
      <xdr:row>185</xdr:row>
      <xdr:rowOff>0</xdr:rowOff>
    </xdr:from>
    <xdr:ext cx="3571875" cy="3257550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</xdr:col>
      <xdr:colOff>0</xdr:colOff>
      <xdr:row>236</xdr:row>
      <xdr:rowOff>0</xdr:rowOff>
    </xdr:from>
    <xdr:ext cx="3571875" cy="3257550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11</xdr:col>
      <xdr:colOff>123825</xdr:colOff>
      <xdr:row>0</xdr:row>
      <xdr:rowOff>28575</xdr:rowOff>
    </xdr:from>
    <xdr:ext cx="1323975" cy="295275"/>
    <xdr:sp>
      <xdr:nvSpPr>
        <xdr:cNvPr id="3" name="Shape 3"/>
        <xdr:cNvSpPr txBox="1"/>
      </xdr:nvSpPr>
      <xdr:spPr>
        <a:xfrm>
          <a:off x="4684013" y="3637125"/>
          <a:ext cx="1323975" cy="2857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Order</a:t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8</xdr:row>
      <xdr:rowOff>0</xdr:rowOff>
    </xdr:from>
    <xdr:ext cx="2152650" cy="476250"/>
    <xdr:sp>
      <xdr:nvSpPr>
        <xdr:cNvPr id="4" name="Shape 4"/>
        <xdr:cNvSpPr/>
      </xdr:nvSpPr>
      <xdr:spPr>
        <a:xfrm>
          <a:off x="4274438" y="3546638"/>
          <a:ext cx="2143125" cy="466725"/>
        </a:xfrm>
        <a:prstGeom prst="roundRect">
          <a:avLst>
            <a:gd fmla="val 16667" name="adj"/>
          </a:avLst>
        </a:prstGeom>
        <a:solidFill>
          <a:srgbClr val="F5F5F5"/>
        </a:solidFill>
        <a:ln cap="flat" cmpd="sng" w="12700">
          <a:solidFill>
            <a:srgbClr val="C95217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152400</xdr:colOff>
      <xdr:row>8</xdr:row>
      <xdr:rowOff>47625</xdr:rowOff>
    </xdr:from>
    <xdr:ext cx="361950" cy="36195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695325</xdr:colOff>
      <xdr:row>8</xdr:row>
      <xdr:rowOff>47625</xdr:rowOff>
    </xdr:from>
    <xdr:ext cx="314325" cy="361950"/>
    <xdr:pic>
      <xdr:nvPicPr>
        <xdr:cNvPr id="0" name="image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695325</xdr:colOff>
      <xdr:row>8</xdr:row>
      <xdr:rowOff>47625</xdr:rowOff>
    </xdr:from>
    <xdr:ext cx="314325" cy="361950"/>
    <xdr:pic>
      <xdr:nvPicPr>
        <xdr:cNvPr id="0" name="image1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476250</xdr:colOff>
      <xdr:row>8</xdr:row>
      <xdr:rowOff>47625</xdr:rowOff>
    </xdr:from>
    <xdr:ext cx="314325" cy="361950"/>
    <xdr:pic>
      <xdr:nvPicPr>
        <xdr:cNvPr id="0" name="image2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247650</xdr:colOff>
      <xdr:row>8</xdr:row>
      <xdr:rowOff>47625</xdr:rowOff>
    </xdr:from>
    <xdr:ext cx="361950" cy="361950"/>
    <xdr:pic>
      <xdr:nvPicPr>
        <xdr:cNvPr id="0" name="image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161</xdr:row>
      <xdr:rowOff>19050</xdr:rowOff>
    </xdr:from>
    <xdr:ext cx="314325" cy="314325"/>
    <xdr:pic>
      <xdr:nvPicPr>
        <xdr:cNvPr id="0" name="image7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143</xdr:row>
      <xdr:rowOff>0</xdr:rowOff>
    </xdr:from>
    <xdr:ext cx="180975" cy="180975"/>
    <xdr:pic>
      <xdr:nvPicPr>
        <xdr:cNvPr id="0" name="image4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17" displayName="Table_1" name="Table_1" id="1">
  <tableColumns count="9">
    <tableColumn name="Pays" id="1"/>
    <tableColumn name="Soutien militaire et politique des États-Unis" id="2"/>
    <tableColumn name="Le manque d'action décisive des gouvernements arabes envers Israël" id="3"/>
    <tableColumn name="Accords de normalisation" id="4"/>
    <tableColumn name="Le soutien des gouvernements occidentaux à Israël" id="5"/>
    <tableColumn name="Le manque d'action décisive de l'ONU envers Israël" id="6"/>
    <tableColumn name="Le manque de positions pratiques de l'Autorité palestinienne contre Israël" id="7"/>
    <tableColumn name="Autre" id="8"/>
    <tableColumn name="Je ne sais pas/J'ai refusé de répondre" id="9"/>
  </tableColumns>
  <tableStyleInfo name="Tableau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43"/>
    <col customWidth="1" min="2" max="2" width="39.71"/>
    <col customWidth="1" min="3" max="3" width="61.29"/>
    <col customWidth="1" min="4" max="4" width="24.43"/>
    <col customWidth="1" min="5" max="5" width="46.14"/>
    <col customWidth="1" min="6" max="6" width="45.86"/>
    <col customWidth="1" min="7" max="7" width="65.86"/>
    <col customWidth="1" min="8" max="8" width="7.86"/>
    <col customWidth="1" min="9" max="9" width="34.43"/>
    <col customWidth="1" min="10" max="26" width="10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4.25" customHeight="1">
      <c r="A2" s="1" t="s">
        <v>9</v>
      </c>
      <c r="B2" s="1">
        <v>67.0</v>
      </c>
      <c r="C2" s="1">
        <v>9.0</v>
      </c>
      <c r="D2" s="1">
        <v>14.0</v>
      </c>
      <c r="E2" s="1">
        <v>1.0</v>
      </c>
      <c r="F2" s="1">
        <v>6.0</v>
      </c>
      <c r="G2" s="1">
        <v>3.0</v>
      </c>
      <c r="H2" s="1">
        <v>0.0</v>
      </c>
      <c r="I2" s="1">
        <v>0.0</v>
      </c>
    </row>
    <row r="3" ht="14.25" customHeight="1">
      <c r="A3" s="1" t="s">
        <v>10</v>
      </c>
      <c r="B3" s="1">
        <v>62.0</v>
      </c>
      <c r="C3" s="1">
        <v>13.0</v>
      </c>
      <c r="D3" s="1">
        <v>7.0</v>
      </c>
      <c r="E3" s="1">
        <v>9.0</v>
      </c>
      <c r="F3" s="1">
        <v>1.0</v>
      </c>
      <c r="G3" s="1">
        <v>1.0</v>
      </c>
      <c r="H3" s="1">
        <v>0.0</v>
      </c>
      <c r="I3" s="1">
        <v>7.0</v>
      </c>
    </row>
    <row r="4" ht="14.25" customHeight="1">
      <c r="A4" s="1" t="s">
        <v>11</v>
      </c>
      <c r="B4" s="1">
        <v>56.0</v>
      </c>
      <c r="C4" s="1">
        <v>11.0</v>
      </c>
      <c r="D4" s="1">
        <v>12.0</v>
      </c>
      <c r="E4" s="1">
        <v>9.0</v>
      </c>
      <c r="F4" s="1">
        <v>4.0</v>
      </c>
      <c r="G4" s="1">
        <v>3.0</v>
      </c>
      <c r="H4" s="1">
        <v>0.0</v>
      </c>
      <c r="I4" s="1">
        <v>5.0</v>
      </c>
    </row>
    <row r="5" ht="14.25" customHeight="1">
      <c r="A5" s="1" t="s">
        <v>12</v>
      </c>
      <c r="B5" s="1">
        <v>55.0</v>
      </c>
      <c r="C5" s="1">
        <v>15.0</v>
      </c>
      <c r="D5" s="1">
        <v>12.0</v>
      </c>
      <c r="E5" s="1">
        <v>6.0</v>
      </c>
      <c r="F5" s="1">
        <v>3.0</v>
      </c>
      <c r="G5" s="1">
        <v>3.0</v>
      </c>
      <c r="H5" s="1">
        <v>3.0</v>
      </c>
      <c r="I5" s="1">
        <v>3.0</v>
      </c>
    </row>
    <row r="6" ht="14.25" customHeight="1">
      <c r="A6" s="1" t="s">
        <v>13</v>
      </c>
      <c r="B6" s="1">
        <v>54.0</v>
      </c>
      <c r="C6" s="1">
        <v>13.0</v>
      </c>
      <c r="D6" s="1">
        <v>4.0</v>
      </c>
      <c r="E6" s="1">
        <v>9.0</v>
      </c>
      <c r="F6" s="1">
        <v>3.0</v>
      </c>
      <c r="G6" s="1">
        <v>1.0</v>
      </c>
      <c r="H6" s="1">
        <v>3.0</v>
      </c>
      <c r="I6" s="1">
        <v>13.0</v>
      </c>
    </row>
    <row r="7" ht="14.25" customHeight="1">
      <c r="A7" s="1" t="s">
        <v>14</v>
      </c>
      <c r="B7" s="1">
        <v>53.0</v>
      </c>
      <c r="C7" s="1">
        <v>11.0</v>
      </c>
      <c r="D7" s="1">
        <v>10.0</v>
      </c>
      <c r="E7" s="1">
        <v>13.0</v>
      </c>
      <c r="F7" s="1">
        <v>3.0</v>
      </c>
      <c r="G7" s="1">
        <v>2.0</v>
      </c>
      <c r="H7" s="1">
        <v>4.0</v>
      </c>
      <c r="I7" s="1">
        <v>4.0</v>
      </c>
    </row>
    <row r="8" ht="14.25" customHeight="1">
      <c r="A8" s="1" t="s">
        <v>15</v>
      </c>
      <c r="B8" s="1">
        <v>52.0</v>
      </c>
      <c r="C8" s="1">
        <v>13.0</v>
      </c>
      <c r="D8" s="1">
        <v>15.0</v>
      </c>
      <c r="E8" s="1">
        <v>9.0</v>
      </c>
      <c r="F8" s="1">
        <v>5.0</v>
      </c>
      <c r="G8" s="1">
        <v>2.0</v>
      </c>
      <c r="H8" s="1">
        <v>0.0</v>
      </c>
      <c r="I8" s="1">
        <v>4.0</v>
      </c>
    </row>
    <row r="9" ht="14.25" customHeight="1">
      <c r="A9" s="1" t="s">
        <v>16</v>
      </c>
      <c r="B9" s="1">
        <v>50.0</v>
      </c>
      <c r="C9" s="1">
        <v>13.0</v>
      </c>
      <c r="D9" s="1">
        <v>8.0</v>
      </c>
      <c r="E9" s="1">
        <v>11.0</v>
      </c>
      <c r="F9" s="1">
        <v>4.0</v>
      </c>
      <c r="G9" s="1">
        <v>1.0</v>
      </c>
      <c r="H9" s="1">
        <v>8.0</v>
      </c>
      <c r="I9" s="1">
        <v>5.0</v>
      </c>
    </row>
    <row r="10" ht="14.25" customHeight="1">
      <c r="A10" s="1" t="s">
        <v>17</v>
      </c>
      <c r="B10" s="1">
        <v>50.0</v>
      </c>
      <c r="C10" s="1">
        <v>16.0</v>
      </c>
      <c r="D10" s="1">
        <v>12.0</v>
      </c>
      <c r="E10" s="1">
        <v>13.0</v>
      </c>
      <c r="F10" s="1">
        <v>3.0</v>
      </c>
      <c r="G10" s="1">
        <v>1.0</v>
      </c>
      <c r="H10" s="1">
        <v>2.0</v>
      </c>
      <c r="I10" s="1">
        <v>3.0</v>
      </c>
    </row>
    <row r="11" ht="14.25" customHeight="1">
      <c r="A11" s="1" t="s">
        <v>18</v>
      </c>
      <c r="B11" s="1">
        <v>50.0</v>
      </c>
      <c r="C11" s="1">
        <v>16.0</v>
      </c>
      <c r="D11" s="1">
        <v>10.0</v>
      </c>
      <c r="E11" s="1">
        <v>10.0</v>
      </c>
      <c r="F11" s="1">
        <v>4.0</v>
      </c>
      <c r="G11" s="1">
        <v>1.0</v>
      </c>
      <c r="H11" s="1">
        <v>0.0</v>
      </c>
      <c r="I11" s="1">
        <v>9.0</v>
      </c>
    </row>
    <row r="12" ht="14.25" customHeight="1">
      <c r="A12" s="1" t="s">
        <v>19</v>
      </c>
      <c r="B12" s="1">
        <v>48.0</v>
      </c>
      <c r="C12" s="1">
        <v>17.0</v>
      </c>
      <c r="D12" s="1">
        <v>10.0</v>
      </c>
      <c r="E12" s="1">
        <v>14.0</v>
      </c>
      <c r="F12" s="1">
        <v>4.0</v>
      </c>
      <c r="G12" s="1">
        <v>1.0</v>
      </c>
      <c r="H12" s="1">
        <v>1.0</v>
      </c>
      <c r="I12" s="1">
        <v>5.0</v>
      </c>
    </row>
    <row r="13" ht="14.25" customHeight="1">
      <c r="A13" s="1" t="s">
        <v>20</v>
      </c>
      <c r="B13" s="1">
        <v>48.0</v>
      </c>
      <c r="C13" s="1">
        <v>13.0</v>
      </c>
      <c r="D13" s="1">
        <v>7.0</v>
      </c>
      <c r="E13" s="1">
        <v>13.0</v>
      </c>
      <c r="F13" s="1">
        <v>4.0</v>
      </c>
      <c r="G13" s="1">
        <v>1.0</v>
      </c>
      <c r="H13" s="1">
        <v>4.0</v>
      </c>
      <c r="I13" s="1">
        <v>10.0</v>
      </c>
    </row>
    <row r="14" ht="14.25" customHeight="1">
      <c r="A14" s="1" t="s">
        <v>21</v>
      </c>
      <c r="B14" s="1">
        <v>47.0</v>
      </c>
      <c r="C14" s="1">
        <v>18.0</v>
      </c>
      <c r="D14" s="1">
        <v>16.0</v>
      </c>
      <c r="E14" s="1">
        <v>9.0</v>
      </c>
      <c r="F14" s="1">
        <v>5.0</v>
      </c>
      <c r="G14" s="1">
        <v>1.0</v>
      </c>
      <c r="H14" s="1">
        <v>1.0</v>
      </c>
      <c r="I14" s="1">
        <v>3.0</v>
      </c>
    </row>
    <row r="15" ht="14.25" customHeight="1">
      <c r="A15" s="1" t="s">
        <v>22</v>
      </c>
      <c r="B15" s="1">
        <v>43.0</v>
      </c>
      <c r="C15" s="1">
        <v>11.0</v>
      </c>
      <c r="D15" s="1">
        <v>8.0</v>
      </c>
      <c r="E15" s="1">
        <v>9.0</v>
      </c>
      <c r="F15" s="1">
        <v>3.0</v>
      </c>
      <c r="G15" s="1">
        <v>1.0</v>
      </c>
      <c r="H15" s="1">
        <v>2.0</v>
      </c>
      <c r="I15" s="1">
        <v>23.0</v>
      </c>
    </row>
    <row r="16" ht="14.25" customHeight="1">
      <c r="A16" s="1" t="s">
        <v>23</v>
      </c>
      <c r="B16" s="1">
        <v>43.0</v>
      </c>
      <c r="C16" s="1">
        <v>13.0</v>
      </c>
      <c r="D16" s="1">
        <v>14.0</v>
      </c>
      <c r="E16" s="1">
        <v>14.0</v>
      </c>
      <c r="F16" s="1">
        <v>5.0</v>
      </c>
      <c r="G16" s="1">
        <v>1.0</v>
      </c>
      <c r="H16" s="1">
        <v>3.0</v>
      </c>
      <c r="I16" s="1">
        <v>7.0</v>
      </c>
    </row>
    <row r="17" ht="14.25" customHeight="1">
      <c r="A17" s="1" t="s">
        <v>24</v>
      </c>
      <c r="B17" s="1">
        <v>36.0</v>
      </c>
      <c r="C17" s="1">
        <v>18.0</v>
      </c>
      <c r="D17" s="1">
        <v>20.0</v>
      </c>
      <c r="E17" s="1">
        <v>12.0</v>
      </c>
      <c r="F17" s="1">
        <v>7.0</v>
      </c>
      <c r="G17" s="1">
        <v>5.0</v>
      </c>
      <c r="H17" s="1">
        <v>0.0</v>
      </c>
      <c r="I17" s="1">
        <v>2.0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800"/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6" width="10.71"/>
  </cols>
  <sheetData>
    <row r="1" ht="14.25" customHeight="1">
      <c r="B1" s="2" t="s">
        <v>25</v>
      </c>
      <c r="C1" s="3"/>
      <c r="D1" s="3"/>
      <c r="E1" s="3"/>
      <c r="F1" s="3"/>
      <c r="G1" s="3"/>
      <c r="H1" s="3"/>
      <c r="I1" s="3"/>
      <c r="J1" s="3"/>
      <c r="K1" s="3"/>
      <c r="L1" s="4"/>
      <c r="M1" s="5"/>
    </row>
    <row r="2" ht="14.25" customHeight="1">
      <c r="B2" s="6"/>
      <c r="C2" s="7"/>
      <c r="D2" s="7"/>
      <c r="E2" s="7"/>
      <c r="F2" s="7"/>
      <c r="G2" s="7"/>
      <c r="H2" s="7"/>
      <c r="I2" s="7"/>
      <c r="J2" s="7"/>
      <c r="K2" s="7"/>
      <c r="L2" s="8"/>
      <c r="M2" s="5"/>
    </row>
    <row r="3" ht="14.25" customHeight="1">
      <c r="B3" s="9" t="s">
        <v>26</v>
      </c>
    </row>
    <row r="4" ht="14.25" customHeight="1">
      <c r="B4" s="9" t="s">
        <v>27</v>
      </c>
    </row>
    <row r="5" ht="14.25" customHeight="1">
      <c r="B5" s="9" t="s">
        <v>28</v>
      </c>
    </row>
    <row r="6" ht="14.25" customHeight="1">
      <c r="B6" s="9" t="s">
        <v>29</v>
      </c>
    </row>
    <row r="7" ht="14.25" customHeight="1">
      <c r="B7" s="9" t="s">
        <v>30</v>
      </c>
    </row>
    <row r="8" ht="14.25" customHeight="1">
      <c r="B8" s="9" t="s">
        <v>31</v>
      </c>
    </row>
    <row r="9" ht="37.5" customHeight="1"/>
    <row r="10" ht="15.75" customHeight="1">
      <c r="B10" s="10"/>
    </row>
    <row r="11" ht="14.25" customHeight="1"/>
    <row r="12" ht="14.25" customHeight="1"/>
    <row r="13" ht="14.25" customHeight="1">
      <c r="B13" s="9" t="s">
        <v>32</v>
      </c>
    </row>
    <row r="14" ht="14.25" customHeight="1"/>
    <row r="15" ht="28.5" customHeight="1">
      <c r="B15" s="11" t="s">
        <v>33</v>
      </c>
      <c r="C15" s="12" t="s">
        <v>34</v>
      </c>
      <c r="D15" s="12" t="s">
        <v>35</v>
      </c>
      <c r="E15" s="12" t="s">
        <v>36</v>
      </c>
      <c r="F15" s="12" t="s">
        <v>37</v>
      </c>
      <c r="G15" s="12" t="s">
        <v>38</v>
      </c>
      <c r="H15" s="12" t="s">
        <v>39</v>
      </c>
      <c r="I15" s="12" t="s">
        <v>40</v>
      </c>
    </row>
    <row r="16" ht="14.25" customHeight="1">
      <c r="B16" s="13" t="s">
        <v>1</v>
      </c>
      <c r="C16" s="14">
        <v>16.0</v>
      </c>
      <c r="D16" s="14">
        <v>0.0</v>
      </c>
      <c r="E16" s="14">
        <v>16.0</v>
      </c>
      <c r="F16" s="15">
        <v>36.0</v>
      </c>
      <c r="G16" s="15">
        <v>67.0</v>
      </c>
      <c r="H16" s="15">
        <v>50.87499999999999</v>
      </c>
      <c r="I16" s="15">
        <v>7.401576408666823</v>
      </c>
    </row>
    <row r="17" ht="14.25" customHeight="1">
      <c r="B17" s="16" t="s">
        <v>2</v>
      </c>
      <c r="C17" s="17">
        <v>16.0</v>
      </c>
      <c r="D17" s="17">
        <v>0.0</v>
      </c>
      <c r="E17" s="17">
        <v>16.0</v>
      </c>
      <c r="F17" s="18">
        <v>9.0</v>
      </c>
      <c r="G17" s="18">
        <v>18.0</v>
      </c>
      <c r="H17" s="18">
        <v>13.75</v>
      </c>
      <c r="I17" s="18">
        <v>2.6708300832013507</v>
      </c>
    </row>
    <row r="18" ht="14.25" customHeight="1">
      <c r="B18" s="16" t="s">
        <v>3</v>
      </c>
      <c r="C18" s="17">
        <v>16.0</v>
      </c>
      <c r="D18" s="17">
        <v>0.0</v>
      </c>
      <c r="E18" s="17">
        <v>16.0</v>
      </c>
      <c r="F18" s="18">
        <v>4.0</v>
      </c>
      <c r="G18" s="18">
        <v>20.0</v>
      </c>
      <c r="H18" s="18">
        <v>11.1875</v>
      </c>
      <c r="I18" s="18">
        <v>4.036809796526625</v>
      </c>
    </row>
    <row r="19" ht="14.25" customHeight="1">
      <c r="B19" s="16" t="s">
        <v>4</v>
      </c>
      <c r="C19" s="17">
        <v>16.0</v>
      </c>
      <c r="D19" s="17">
        <v>0.0</v>
      </c>
      <c r="E19" s="17">
        <v>16.0</v>
      </c>
      <c r="F19" s="18">
        <v>1.0</v>
      </c>
      <c r="G19" s="18">
        <v>14.0</v>
      </c>
      <c r="H19" s="18">
        <v>10.0625</v>
      </c>
      <c r="I19" s="18">
        <v>3.336040567299305</v>
      </c>
    </row>
    <row r="20" ht="14.25" customHeight="1">
      <c r="B20" s="16" t="s">
        <v>5</v>
      </c>
      <c r="C20" s="17">
        <v>16.0</v>
      </c>
      <c r="D20" s="17">
        <v>0.0</v>
      </c>
      <c r="E20" s="17">
        <v>16.0</v>
      </c>
      <c r="F20" s="18">
        <v>1.0</v>
      </c>
      <c r="G20" s="18">
        <v>7.0</v>
      </c>
      <c r="H20" s="18">
        <v>4.0</v>
      </c>
      <c r="I20" s="18">
        <v>1.414213562373095</v>
      </c>
    </row>
    <row r="21" ht="14.25" customHeight="1">
      <c r="B21" s="16" t="s">
        <v>6</v>
      </c>
      <c r="C21" s="17">
        <v>16.0</v>
      </c>
      <c r="D21" s="17">
        <v>0.0</v>
      </c>
      <c r="E21" s="17">
        <v>16.0</v>
      </c>
      <c r="F21" s="18">
        <v>1.0</v>
      </c>
      <c r="G21" s="18">
        <v>5.0</v>
      </c>
      <c r="H21" s="18">
        <v>1.75</v>
      </c>
      <c r="I21" s="18">
        <v>1.1832159566199232</v>
      </c>
    </row>
    <row r="22" ht="14.25" customHeight="1">
      <c r="B22" s="16" t="s">
        <v>7</v>
      </c>
      <c r="C22" s="17">
        <v>16.0</v>
      </c>
      <c r="D22" s="17">
        <v>0.0</v>
      </c>
      <c r="E22" s="17">
        <v>16.0</v>
      </c>
      <c r="F22" s="18">
        <v>0.0</v>
      </c>
      <c r="G22" s="18">
        <v>8.0</v>
      </c>
      <c r="H22" s="18">
        <v>1.9375000000000002</v>
      </c>
      <c r="I22" s="18">
        <v>2.205107707119994</v>
      </c>
    </row>
    <row r="23" ht="14.25" customHeight="1">
      <c r="B23" s="19" t="s">
        <v>8</v>
      </c>
      <c r="C23" s="20">
        <v>16.0</v>
      </c>
      <c r="D23" s="20">
        <v>0.0</v>
      </c>
      <c r="E23" s="20">
        <v>16.0</v>
      </c>
      <c r="F23" s="21">
        <v>0.0</v>
      </c>
      <c r="G23" s="21">
        <v>23.0</v>
      </c>
      <c r="H23" s="21">
        <v>6.4375</v>
      </c>
      <c r="I23" s="21">
        <v>5.489004159833245</v>
      </c>
    </row>
    <row r="24" ht="14.25" customHeight="1"/>
    <row r="25" ht="14.25" customHeight="1"/>
    <row r="26" ht="14.25" customHeight="1">
      <c r="B26" s="22" t="s">
        <v>41</v>
      </c>
    </row>
    <row r="27" ht="14.25" customHeight="1"/>
    <row r="28" ht="14.25" customHeight="1">
      <c r="B28" s="9" t="s">
        <v>42</v>
      </c>
    </row>
    <row r="29" ht="14.25" customHeight="1"/>
    <row r="30" ht="14.25" customHeight="1">
      <c r="B30" s="11"/>
      <c r="C30" s="12" t="s">
        <v>43</v>
      </c>
      <c r="D30" s="12" t="s">
        <v>44</v>
      </c>
      <c r="E30" s="12" t="s">
        <v>45</v>
      </c>
      <c r="F30" s="12" t="s">
        <v>46</v>
      </c>
      <c r="G30" s="12" t="s">
        <v>47</v>
      </c>
      <c r="H30" s="12" t="s">
        <v>48</v>
      </c>
      <c r="I30" s="12" t="s">
        <v>49</v>
      </c>
    </row>
    <row r="31" ht="14.25" customHeight="1">
      <c r="B31" s="23" t="s">
        <v>50</v>
      </c>
      <c r="C31" s="24">
        <v>3.090284783279928</v>
      </c>
      <c r="D31" s="24">
        <v>2.2239333494847395</v>
      </c>
      <c r="E31" s="24">
        <v>0.9064134875649487</v>
      </c>
      <c r="F31" s="24">
        <v>0.875332841353338</v>
      </c>
      <c r="G31" s="24">
        <v>0.402531731498889</v>
      </c>
      <c r="H31" s="24">
        <v>0.3576210082704998</v>
      </c>
      <c r="I31" s="24">
        <v>0.14388279854765373</v>
      </c>
    </row>
    <row r="32" ht="14.25" customHeight="1">
      <c r="B32" s="25" t="s">
        <v>51</v>
      </c>
      <c r="C32" s="26">
        <v>38.62855979099912</v>
      </c>
      <c r="D32" s="26">
        <v>27.799166868559258</v>
      </c>
      <c r="E32" s="26">
        <v>11.330168594561863</v>
      </c>
      <c r="F32" s="26">
        <v>10.94166051691673</v>
      </c>
      <c r="G32" s="26">
        <v>5.0316466437361145</v>
      </c>
      <c r="H32" s="26">
        <v>4.47026260338125</v>
      </c>
      <c r="I32" s="26">
        <v>1.7985349818456726</v>
      </c>
    </row>
    <row r="33" ht="14.25" customHeight="1">
      <c r="B33" s="27" t="s">
        <v>52</v>
      </c>
      <c r="C33" s="28">
        <v>38.62855979099912</v>
      </c>
      <c r="D33" s="28">
        <v>66.42772665955837</v>
      </c>
      <c r="E33" s="28">
        <v>77.75789525412024</v>
      </c>
      <c r="F33" s="28">
        <v>88.69955577103697</v>
      </c>
      <c r="G33" s="28">
        <v>93.73120241477308</v>
      </c>
      <c r="H33" s="28">
        <v>98.20146501815432</v>
      </c>
      <c r="I33" s="28">
        <v>100.0</v>
      </c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>
      <c r="F53" s="9" t="s">
        <v>53</v>
      </c>
    </row>
    <row r="54" ht="14.25" customHeight="1"/>
    <row r="55" ht="14.25" customHeight="1"/>
    <row r="56" ht="14.25" customHeight="1">
      <c r="B56" s="9" t="s">
        <v>54</v>
      </c>
    </row>
    <row r="57" ht="14.25" customHeight="1"/>
    <row r="58" ht="14.25" customHeight="1">
      <c r="B58" s="11"/>
      <c r="C58" s="12" t="s">
        <v>43</v>
      </c>
      <c r="D58" s="12" t="s">
        <v>44</v>
      </c>
      <c r="E58" s="12" t="s">
        <v>45</v>
      </c>
      <c r="F58" s="12" t="s">
        <v>46</v>
      </c>
      <c r="G58" s="12" t="s">
        <v>47</v>
      </c>
    </row>
    <row r="59" ht="14.25" customHeight="1">
      <c r="B59" s="23" t="s">
        <v>1</v>
      </c>
      <c r="C59" s="24">
        <v>-0.13798674911170752</v>
      </c>
      <c r="D59" s="24">
        <v>-0.6041563879184388</v>
      </c>
      <c r="E59" s="24">
        <v>0.05652101608142211</v>
      </c>
      <c r="F59" s="24">
        <v>-0.364045421631794</v>
      </c>
      <c r="G59" s="24">
        <v>-0.0414101313520261</v>
      </c>
    </row>
    <row r="60" ht="14.25" customHeight="1">
      <c r="B60" s="25" t="s">
        <v>2</v>
      </c>
      <c r="C60" s="26">
        <v>0.22945069127497092</v>
      </c>
      <c r="D60" s="26">
        <v>0.4376919831212908</v>
      </c>
      <c r="E60" s="26">
        <v>-0.27355550172702525</v>
      </c>
      <c r="F60" s="26">
        <v>-0.4923013526286761</v>
      </c>
      <c r="G60" s="26">
        <v>-0.16534128283614646</v>
      </c>
    </row>
    <row r="61" ht="14.25" customHeight="1">
      <c r="B61" s="25" t="s">
        <v>3</v>
      </c>
      <c r="C61" s="26">
        <v>0.5403795896224175</v>
      </c>
      <c r="D61" s="26">
        <v>0.04920259668263403</v>
      </c>
      <c r="E61" s="26">
        <v>0.0016931885443516065</v>
      </c>
      <c r="F61" s="26">
        <v>0.030734840256575264</v>
      </c>
      <c r="G61" s="26">
        <v>-0.08893321674750841</v>
      </c>
    </row>
    <row r="62" ht="14.25" customHeight="1">
      <c r="B62" s="25" t="s">
        <v>4</v>
      </c>
      <c r="C62" s="26">
        <v>-0.08333415085039586</v>
      </c>
      <c r="D62" s="26">
        <v>0.5838837608779853</v>
      </c>
      <c r="E62" s="26">
        <v>0.10631757848991609</v>
      </c>
      <c r="F62" s="26">
        <v>-0.15773030930659862</v>
      </c>
      <c r="G62" s="26">
        <v>0.4108332946954602</v>
      </c>
    </row>
    <row r="63" ht="14.25" customHeight="1">
      <c r="B63" s="25" t="s">
        <v>5</v>
      </c>
      <c r="C63" s="26">
        <v>0.4667018507035361</v>
      </c>
      <c r="D63" s="26">
        <v>0.06511113394657199</v>
      </c>
      <c r="E63" s="26">
        <v>0.20236773656361742</v>
      </c>
      <c r="F63" s="26">
        <v>0.3697782543145674</v>
      </c>
      <c r="G63" s="26">
        <v>-0.5159137844849581</v>
      </c>
    </row>
    <row r="64" ht="14.25" customHeight="1">
      <c r="B64" s="25" t="s">
        <v>6</v>
      </c>
      <c r="C64" s="26">
        <v>0.43943891597708956</v>
      </c>
      <c r="D64" s="26">
        <v>-0.1801736722662477</v>
      </c>
      <c r="E64" s="26">
        <v>0.12677009844228654</v>
      </c>
      <c r="F64" s="26">
        <v>0.25983920600478366</v>
      </c>
      <c r="G64" s="26">
        <v>0.7187478928726783</v>
      </c>
    </row>
    <row r="65" ht="14.25" customHeight="1">
      <c r="B65" s="25" t="s">
        <v>7</v>
      </c>
      <c r="C65" s="26">
        <v>-0.278218020155897</v>
      </c>
      <c r="D65" s="26">
        <v>0.2005887088911636</v>
      </c>
      <c r="E65" s="26">
        <v>0.8233537624398045</v>
      </c>
      <c r="F65" s="26">
        <v>0.06891243619915677</v>
      </c>
      <c r="G65" s="26">
        <v>-0.10332794827440088</v>
      </c>
    </row>
    <row r="66" ht="14.25" customHeight="1">
      <c r="B66" s="27" t="s">
        <v>8</v>
      </c>
      <c r="C66" s="28">
        <v>-0.37554614989356366</v>
      </c>
      <c r="D66" s="28">
        <v>0.1521243012638809</v>
      </c>
      <c r="E66" s="28">
        <v>-0.41920363911571784</v>
      </c>
      <c r="F66" s="28">
        <v>0.6247283682572164</v>
      </c>
      <c r="G66" s="28">
        <v>-0.028497661571002024</v>
      </c>
    </row>
    <row r="67" ht="14.25" customHeight="1"/>
    <row r="68" ht="14.25" customHeight="1"/>
    <row r="69" ht="14.25" customHeight="1">
      <c r="B69" s="9" t="s">
        <v>55</v>
      </c>
    </row>
    <row r="70" ht="14.25" customHeight="1"/>
    <row r="71" ht="14.25" customHeight="1">
      <c r="B71" s="11"/>
      <c r="C71" s="12" t="s">
        <v>43</v>
      </c>
      <c r="D71" s="12" t="s">
        <v>44</v>
      </c>
      <c r="E71" s="12" t="s">
        <v>45</v>
      </c>
      <c r="F71" s="12" t="s">
        <v>46</v>
      </c>
      <c r="G71" s="12" t="s">
        <v>47</v>
      </c>
    </row>
    <row r="72" ht="14.25" customHeight="1">
      <c r="B72" s="23" t="s">
        <v>1</v>
      </c>
      <c r="C72" s="24">
        <v>-0.24256974672514334</v>
      </c>
      <c r="D72" s="24">
        <v>-0.9009698447539466</v>
      </c>
      <c r="E72" s="24">
        <v>0.0538112573943521</v>
      </c>
      <c r="F72" s="24">
        <v>-0.340598071837427</v>
      </c>
      <c r="G72" s="24">
        <v>-0.026272818692047225</v>
      </c>
    </row>
    <row r="73" ht="14.25" customHeight="1">
      <c r="B73" s="25" t="s">
        <v>2</v>
      </c>
      <c r="C73" s="26">
        <v>0.403356093442138</v>
      </c>
      <c r="D73" s="26">
        <v>0.652723840993424</v>
      </c>
      <c r="E73" s="26">
        <v>-0.2604405676973051</v>
      </c>
      <c r="F73" s="26">
        <v>-0.4605933257358131</v>
      </c>
      <c r="G73" s="26">
        <v>-0.10490141915601617</v>
      </c>
    </row>
    <row r="74" ht="14.25" customHeight="1">
      <c r="B74" s="25" t="s">
        <v>3</v>
      </c>
      <c r="C74" s="26">
        <v>0.9499444043284966</v>
      </c>
      <c r="D74" s="26">
        <v>0.07337513395725014</v>
      </c>
      <c r="E74" s="26">
        <v>0.001612012856350975</v>
      </c>
      <c r="F74" s="26">
        <v>0.02875527807134114</v>
      </c>
      <c r="G74" s="26">
        <v>-0.05642402482245461</v>
      </c>
    </row>
    <row r="75" ht="14.25" customHeight="1">
      <c r="B75" s="25" t="s">
        <v>4</v>
      </c>
      <c r="C75" s="26">
        <v>-0.14649481921608892</v>
      </c>
      <c r="D75" s="26">
        <v>0.8707375638368774</v>
      </c>
      <c r="E75" s="26">
        <v>0.10122044822095067</v>
      </c>
      <c r="F75" s="26">
        <v>-0.14757125355221493</v>
      </c>
      <c r="G75" s="26">
        <v>0.2606547796826083</v>
      </c>
    </row>
    <row r="76" ht="14.25" customHeight="1">
      <c r="B76" s="25" t="s">
        <v>5</v>
      </c>
      <c r="C76" s="26">
        <v>0.8204247904243674</v>
      </c>
      <c r="D76" s="26">
        <v>0.09709930974282097</v>
      </c>
      <c r="E76" s="26">
        <v>0.1926657218060271</v>
      </c>
      <c r="F76" s="26">
        <v>0.3459616656141786</v>
      </c>
      <c r="G76" s="26">
        <v>-0.327323504609894</v>
      </c>
    </row>
    <row r="77" ht="14.25" customHeight="1">
      <c r="B77" s="25" t="s">
        <v>6</v>
      </c>
      <c r="C77" s="26">
        <v>0.772498716260358</v>
      </c>
      <c r="D77" s="26">
        <v>-0.26869043972168405</v>
      </c>
      <c r="E77" s="26">
        <v>0.12069242328124823</v>
      </c>
      <c r="F77" s="26">
        <v>0.2431035450365023</v>
      </c>
      <c r="G77" s="26">
        <v>0.45601239257626586</v>
      </c>
    </row>
    <row r="78" ht="14.25" customHeight="1">
      <c r="B78" s="25" t="s">
        <v>7</v>
      </c>
      <c r="C78" s="26">
        <v>-0.4890851847589529</v>
      </c>
      <c r="D78" s="26">
        <v>0.29913509403042854</v>
      </c>
      <c r="E78" s="26">
        <v>0.7838801265255277</v>
      </c>
      <c r="F78" s="26">
        <v>0.06447394061390557</v>
      </c>
      <c r="G78" s="26">
        <v>-0.06555681815536535</v>
      </c>
    </row>
    <row r="79" ht="14.25" customHeight="1">
      <c r="B79" s="27" t="s">
        <v>8</v>
      </c>
      <c r="C79" s="28">
        <v>-0.6601803075274811</v>
      </c>
      <c r="D79" s="28">
        <v>0.22686081093215954</v>
      </c>
      <c r="E79" s="28">
        <v>-0.3991059695849935</v>
      </c>
      <c r="F79" s="28">
        <v>0.5844910140519857</v>
      </c>
      <c r="G79" s="28">
        <v>-0.018080452081580396</v>
      </c>
    </row>
    <row r="80" ht="14.25" customHeight="1"/>
    <row r="81" ht="14.25" customHeight="1"/>
    <row r="82" ht="14.25" customHeight="1">
      <c r="B82" s="9" t="s">
        <v>56</v>
      </c>
    </row>
    <row r="83" ht="14.25" customHeight="1"/>
    <row r="84" ht="14.25" customHeight="1">
      <c r="B84" s="11"/>
      <c r="C84" s="12" t="s">
        <v>43</v>
      </c>
      <c r="D84" s="12" t="s">
        <v>44</v>
      </c>
      <c r="E84" s="12" t="s">
        <v>45</v>
      </c>
      <c r="F84" s="12" t="s">
        <v>46</v>
      </c>
      <c r="G84" s="12" t="s">
        <v>47</v>
      </c>
    </row>
    <row r="85" ht="14.25" customHeight="1">
      <c r="B85" s="23" t="s">
        <v>1</v>
      </c>
      <c r="C85" s="24">
        <v>-0.24256974672514334</v>
      </c>
      <c r="D85" s="24">
        <v>-0.9009698447539466</v>
      </c>
      <c r="E85" s="24">
        <v>0.0538112573943521</v>
      </c>
      <c r="F85" s="24">
        <v>-0.340598071837427</v>
      </c>
      <c r="G85" s="24">
        <v>-0.026272818692047225</v>
      </c>
    </row>
    <row r="86" ht="14.25" customHeight="1">
      <c r="B86" s="25" t="s">
        <v>2</v>
      </c>
      <c r="C86" s="26">
        <v>0.403356093442138</v>
      </c>
      <c r="D86" s="26">
        <v>0.652723840993424</v>
      </c>
      <c r="E86" s="26">
        <v>-0.2604405676973051</v>
      </c>
      <c r="F86" s="26">
        <v>-0.4605933257358131</v>
      </c>
      <c r="G86" s="26">
        <v>-0.10490141915601617</v>
      </c>
    </row>
    <row r="87" ht="14.25" customHeight="1">
      <c r="B87" s="25" t="s">
        <v>3</v>
      </c>
      <c r="C87" s="26">
        <v>0.9499444043284966</v>
      </c>
      <c r="D87" s="26">
        <v>0.07337513395725014</v>
      </c>
      <c r="E87" s="26">
        <v>0.001612012856350975</v>
      </c>
      <c r="F87" s="26">
        <v>0.02875527807134114</v>
      </c>
      <c r="G87" s="26">
        <v>-0.05642402482245461</v>
      </c>
    </row>
    <row r="88" ht="14.25" customHeight="1">
      <c r="B88" s="25" t="s">
        <v>4</v>
      </c>
      <c r="C88" s="26">
        <v>-0.14649481921608892</v>
      </c>
      <c r="D88" s="26">
        <v>0.8707375638368774</v>
      </c>
      <c r="E88" s="26">
        <v>0.10122044822095067</v>
      </c>
      <c r="F88" s="26">
        <v>-0.14757125355221493</v>
      </c>
      <c r="G88" s="26">
        <v>0.2606547796826083</v>
      </c>
    </row>
    <row r="89" ht="14.25" customHeight="1">
      <c r="B89" s="25" t="s">
        <v>5</v>
      </c>
      <c r="C89" s="26">
        <v>0.8204247904243674</v>
      </c>
      <c r="D89" s="26">
        <v>0.09709930974282097</v>
      </c>
      <c r="E89" s="26">
        <v>0.1926657218060271</v>
      </c>
      <c r="F89" s="26">
        <v>0.3459616656141786</v>
      </c>
      <c r="G89" s="26">
        <v>-0.327323504609894</v>
      </c>
    </row>
    <row r="90" ht="14.25" customHeight="1">
      <c r="B90" s="25" t="s">
        <v>6</v>
      </c>
      <c r="C90" s="26">
        <v>0.772498716260358</v>
      </c>
      <c r="D90" s="26">
        <v>-0.26869043972168405</v>
      </c>
      <c r="E90" s="26">
        <v>0.12069242328124823</v>
      </c>
      <c r="F90" s="26">
        <v>0.2431035450365023</v>
      </c>
      <c r="G90" s="26">
        <v>0.45601239257626586</v>
      </c>
    </row>
    <row r="91" ht="14.25" customHeight="1">
      <c r="B91" s="25" t="s">
        <v>7</v>
      </c>
      <c r="C91" s="26">
        <v>-0.4890851847589529</v>
      </c>
      <c r="D91" s="26">
        <v>0.29913509403042854</v>
      </c>
      <c r="E91" s="26">
        <v>0.7838801265255277</v>
      </c>
      <c r="F91" s="26">
        <v>0.06447394061390557</v>
      </c>
      <c r="G91" s="26">
        <v>-0.06555681815536535</v>
      </c>
    </row>
    <row r="92" ht="14.25" customHeight="1">
      <c r="B92" s="27" t="s">
        <v>8</v>
      </c>
      <c r="C92" s="28">
        <v>-0.6601803075274811</v>
      </c>
      <c r="D92" s="28">
        <v>0.22686081093215954</v>
      </c>
      <c r="E92" s="28">
        <v>-0.3991059695849935</v>
      </c>
      <c r="F92" s="28">
        <v>0.5844910140519857</v>
      </c>
      <c r="G92" s="28">
        <v>-0.018080452081580396</v>
      </c>
    </row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>
      <c r="F112" s="9" t="s">
        <v>53</v>
      </c>
    </row>
    <row r="113" ht="14.25" customHeight="1"/>
    <row r="114" ht="14.25" customHeight="1"/>
    <row r="115" ht="14.25" customHeight="1">
      <c r="B115" s="9" t="s">
        <v>57</v>
      </c>
    </row>
    <row r="116" ht="14.25" customHeight="1"/>
    <row r="117" ht="14.25" customHeight="1">
      <c r="B117" s="11"/>
      <c r="C117" s="12" t="s">
        <v>43</v>
      </c>
      <c r="D117" s="12" t="s">
        <v>44</v>
      </c>
      <c r="E117" s="12" t="s">
        <v>45</v>
      </c>
      <c r="F117" s="12" t="s">
        <v>46</v>
      </c>
      <c r="G117" s="12" t="s">
        <v>47</v>
      </c>
    </row>
    <row r="118" ht="14.25" customHeight="1">
      <c r="B118" s="23" t="s">
        <v>1</v>
      </c>
      <c r="C118" s="24">
        <v>1.9040342930417318</v>
      </c>
      <c r="D118" s="24">
        <v>36.50049410626551</v>
      </c>
      <c r="E118" s="24">
        <v>0.3194625258876376</v>
      </c>
      <c r="F118" s="24">
        <v>13.252906901107064</v>
      </c>
      <c r="G118" s="24">
        <v>0.17147989785920548</v>
      </c>
    </row>
    <row r="119" ht="14.25" customHeight="1">
      <c r="B119" s="25" t="s">
        <v>2</v>
      </c>
      <c r="C119" s="26">
        <v>5.264761972656202</v>
      </c>
      <c r="D119" s="26">
        <v>19.157427208864835</v>
      </c>
      <c r="E119" s="26">
        <v>7.483261252512451</v>
      </c>
      <c r="F119" s="26">
        <v>24.236062180002406</v>
      </c>
      <c r="G119" s="26">
        <v>2.7337739809902586</v>
      </c>
    </row>
    <row r="120" ht="14.25" customHeight="1">
      <c r="B120" s="25" t="s">
        <v>3</v>
      </c>
      <c r="C120" s="26">
        <v>29.201010088049234</v>
      </c>
      <c r="D120" s="26">
        <v>0.2420895520313949</v>
      </c>
      <c r="E120" s="26">
        <v>2.866887446723512E-4</v>
      </c>
      <c r="F120" s="26">
        <v>0.09446304055971995</v>
      </c>
      <c r="G120" s="26">
        <v>0.790911704105931</v>
      </c>
    </row>
    <row r="121" ht="14.25" customHeight="1">
      <c r="B121" s="25" t="s">
        <v>4</v>
      </c>
      <c r="C121" s="26">
        <v>0.6944580697956533</v>
      </c>
      <c r="D121" s="26">
        <v>34.09202462170203</v>
      </c>
      <c r="E121" s="26">
        <v>1.1303427495959466</v>
      </c>
      <c r="F121" s="26">
        <v>2.487885047395527</v>
      </c>
      <c r="G121" s="26">
        <v>16.878399603032687</v>
      </c>
    </row>
    <row r="122" ht="14.25" customHeight="1">
      <c r="B122" s="25" t="s">
        <v>5</v>
      </c>
      <c r="C122" s="26">
        <v>21.781061745010568</v>
      </c>
      <c r="D122" s="26">
        <v>0.423945976380844</v>
      </c>
      <c r="E122" s="26">
        <v>4.095270080188166</v>
      </c>
      <c r="F122" s="26">
        <v>13.673595736392887</v>
      </c>
      <c r="G122" s="26">
        <v>26.61670330215918</v>
      </c>
    </row>
    <row r="123" ht="14.25" customHeight="1">
      <c r="B123" s="25" t="s">
        <v>6</v>
      </c>
      <c r="C123" s="26">
        <v>19.310656087511955</v>
      </c>
      <c r="D123" s="26">
        <v>3.2462552177905244</v>
      </c>
      <c r="E123" s="26">
        <v>1.607065785906702</v>
      </c>
      <c r="F123" s="26">
        <v>6.75164129771964</v>
      </c>
      <c r="G123" s="26">
        <v>51.65985335089151</v>
      </c>
    </row>
    <row r="124" ht="14.25" customHeight="1">
      <c r="B124" s="25" t="s">
        <v>7</v>
      </c>
      <c r="C124" s="26">
        <v>7.740526673946709</v>
      </c>
      <c r="D124" s="26">
        <v>4.023583013462398</v>
      </c>
      <c r="E124" s="26">
        <v>67.7911418123782</v>
      </c>
      <c r="F124" s="26">
        <v>0.4748923862902852</v>
      </c>
      <c r="G124" s="26">
        <v>1.0676664894597265</v>
      </c>
    </row>
    <row r="125" ht="14.25" customHeight="1">
      <c r="B125" s="27" t="s">
        <v>8</v>
      </c>
      <c r="C125" s="28">
        <v>14.1034910699879</v>
      </c>
      <c r="D125" s="28">
        <v>2.3141803035024</v>
      </c>
      <c r="E125" s="28">
        <v>17.5731691047861</v>
      </c>
      <c r="F125" s="28">
        <v>39.028553410532425</v>
      </c>
      <c r="G125" s="28">
        <v>0.08121167150153656</v>
      </c>
    </row>
    <row r="126" ht="14.25" customHeight="1"/>
    <row r="127" ht="14.25" customHeight="1"/>
    <row r="128" ht="14.25" customHeight="1">
      <c r="B128" s="9" t="s">
        <v>58</v>
      </c>
    </row>
    <row r="129" ht="14.25" customHeight="1"/>
    <row r="130" ht="14.25" customHeight="1">
      <c r="B130" s="11"/>
      <c r="C130" s="12" t="s">
        <v>43</v>
      </c>
      <c r="D130" s="12" t="s">
        <v>44</v>
      </c>
      <c r="E130" s="12" t="s">
        <v>45</v>
      </c>
      <c r="F130" s="12" t="s">
        <v>46</v>
      </c>
      <c r="G130" s="12" t="s">
        <v>47</v>
      </c>
    </row>
    <row r="131" ht="14.25" customHeight="1">
      <c r="B131" s="23" t="s">
        <v>1</v>
      </c>
      <c r="C131" s="24">
        <v>0.05884008202630016</v>
      </c>
      <c r="D131" s="29">
        <v>0.8117466611559503</v>
      </c>
      <c r="E131" s="24">
        <v>0.0028956514223612124</v>
      </c>
      <c r="F131" s="24">
        <v>0.11600704653937303</v>
      </c>
      <c r="G131" s="24">
        <v>6.902610020251857E-4</v>
      </c>
    </row>
    <row r="132" ht="14.25" customHeight="1">
      <c r="B132" s="25" t="s">
        <v>2</v>
      </c>
      <c r="C132" s="26">
        <v>0.16269613811690284</v>
      </c>
      <c r="D132" s="30">
        <v>0.42604841260120874</v>
      </c>
      <c r="E132" s="26">
        <v>0.0678292893024946</v>
      </c>
      <c r="F132" s="26">
        <v>0.21214621171237688</v>
      </c>
      <c r="G132" s="26">
        <v>0.0110043077409462</v>
      </c>
    </row>
    <row r="133" ht="14.25" customHeight="1">
      <c r="B133" s="25" t="s">
        <v>3</v>
      </c>
      <c r="C133" s="30">
        <v>0.9023943713150235</v>
      </c>
      <c r="D133" s="26">
        <v>0.00538391028324441</v>
      </c>
      <c r="E133" s="26">
        <v>2.5985854490408334E-6</v>
      </c>
      <c r="F133" s="26">
        <v>8.268660169601539E-4</v>
      </c>
      <c r="G133" s="26">
        <v>0.0031836705771649786</v>
      </c>
    </row>
    <row r="134" ht="14.25" customHeight="1">
      <c r="B134" s="25" t="s">
        <v>4</v>
      </c>
      <c r="C134" s="26">
        <v>0.02146073205715463</v>
      </c>
      <c r="D134" s="30">
        <v>0.7581839050765822</v>
      </c>
      <c r="E134" s="26">
        <v>0.010245579138050182</v>
      </c>
      <c r="F134" s="26">
        <v>0.021777274874972167</v>
      </c>
      <c r="G134" s="26">
        <v>0.06794091417138926</v>
      </c>
    </row>
    <row r="135" ht="14.25" customHeight="1">
      <c r="B135" s="25" t="s">
        <v>5</v>
      </c>
      <c r="C135" s="30">
        <v>0.6730968367428672</v>
      </c>
      <c r="D135" s="26">
        <v>0.009428275952532287</v>
      </c>
      <c r="E135" s="26">
        <v>0.037120080359037425</v>
      </c>
      <c r="F135" s="26">
        <v>0.11968947407453674</v>
      </c>
      <c r="G135" s="26">
        <v>0.10714067667010331</v>
      </c>
    </row>
    <row r="136" ht="14.25" customHeight="1">
      <c r="B136" s="25" t="s">
        <v>6</v>
      </c>
      <c r="C136" s="30">
        <v>0.5967542666239015</v>
      </c>
      <c r="D136" s="26">
        <v>0.07219455239783197</v>
      </c>
      <c r="E136" s="26">
        <v>0.014566661037499998</v>
      </c>
      <c r="F136" s="26">
        <v>0.05909933360931474</v>
      </c>
      <c r="G136" s="26">
        <v>0.2079473021831305</v>
      </c>
    </row>
    <row r="137" ht="14.25" customHeight="1">
      <c r="B137" s="25" t="s">
        <v>7</v>
      </c>
      <c r="C137" s="26">
        <v>0.2392043179506994</v>
      </c>
      <c r="D137" s="26">
        <v>0.08948180448059345</v>
      </c>
      <c r="E137" s="30">
        <v>0.6144680527616782</v>
      </c>
      <c r="F137" s="26">
        <v>0.004156889018285427</v>
      </c>
      <c r="G137" s="26">
        <v>0.004297696406655646</v>
      </c>
    </row>
    <row r="138" ht="14.25" customHeight="1">
      <c r="B138" s="27" t="s">
        <v>8</v>
      </c>
      <c r="C138" s="31">
        <v>0.4358380384470802</v>
      </c>
      <c r="D138" s="28">
        <v>0.05146582753679711</v>
      </c>
      <c r="E138" s="28">
        <v>0.15928557495837797</v>
      </c>
      <c r="F138" s="28">
        <v>0.341629745507519</v>
      </c>
      <c r="G138" s="28">
        <v>3.2690274747432534E-4</v>
      </c>
    </row>
    <row r="139" ht="14.25" customHeight="1">
      <c r="B139" s="32" t="s">
        <v>59</v>
      </c>
    </row>
    <row r="140" ht="14.25" customHeight="1"/>
    <row r="141" ht="14.25" customHeight="1"/>
    <row r="142" ht="14.25" customHeight="1">
      <c r="B142" s="9" t="s">
        <v>60</v>
      </c>
    </row>
    <row r="143" ht="14.25" customHeight="1"/>
    <row r="144" ht="14.25" customHeight="1">
      <c r="B144" s="11"/>
      <c r="C144" s="12" t="s">
        <v>43</v>
      </c>
      <c r="D144" s="12" t="s">
        <v>44</v>
      </c>
      <c r="E144" s="12" t="s">
        <v>45</v>
      </c>
      <c r="F144" s="12" t="s">
        <v>46</v>
      </c>
      <c r="G144" s="12" t="s">
        <v>47</v>
      </c>
    </row>
    <row r="145" ht="14.25" customHeight="1">
      <c r="B145" s="23" t="s">
        <v>61</v>
      </c>
      <c r="C145" s="24">
        <v>1.7591963955809242</v>
      </c>
      <c r="D145" s="24">
        <v>-4.233859905868836</v>
      </c>
      <c r="E145" s="24">
        <v>0.5270725094856085</v>
      </c>
      <c r="F145" s="24">
        <v>0.5541507316488314</v>
      </c>
      <c r="G145" s="24">
        <v>-0.8471548285073939</v>
      </c>
    </row>
    <row r="146" ht="14.25" customHeight="1">
      <c r="B146" s="25" t="s">
        <v>62</v>
      </c>
      <c r="C146" s="26">
        <v>-1.9297219052054981</v>
      </c>
      <c r="D146" s="26">
        <v>-1.5002020079289229</v>
      </c>
      <c r="E146" s="26">
        <v>-1.1875907466151583</v>
      </c>
      <c r="F146" s="26">
        <v>-1.3800564544529341</v>
      </c>
      <c r="G146" s="26">
        <v>0.6943388928825874</v>
      </c>
    </row>
    <row r="147" ht="14.25" customHeight="1">
      <c r="B147" s="25" t="s">
        <v>63</v>
      </c>
      <c r="C147" s="26">
        <v>0.6305782668010704</v>
      </c>
      <c r="D147" s="26">
        <v>-1.499085454474573</v>
      </c>
      <c r="E147" s="26">
        <v>-0.1987547579411527</v>
      </c>
      <c r="F147" s="26">
        <v>0.37344996524400687</v>
      </c>
      <c r="G147" s="26">
        <v>0.8782790177472246</v>
      </c>
    </row>
    <row r="148" ht="14.25" customHeight="1">
      <c r="B148" s="25" t="s">
        <v>64</v>
      </c>
      <c r="C148" s="26">
        <v>0.49170920465630885</v>
      </c>
      <c r="D148" s="26">
        <v>-1.1030102480318782</v>
      </c>
      <c r="E148" s="26">
        <v>0.4383394546249498</v>
      </c>
      <c r="F148" s="26">
        <v>-0.5990529297394965</v>
      </c>
      <c r="G148" s="26">
        <v>0.48905333809790424</v>
      </c>
    </row>
    <row r="149" ht="14.25" customHeight="1">
      <c r="B149" s="25" t="s">
        <v>65</v>
      </c>
      <c r="C149" s="26">
        <v>-2.3236784176138037</v>
      </c>
      <c r="D149" s="26">
        <v>-0.31486127074702785</v>
      </c>
      <c r="E149" s="26">
        <v>-0.27277409852881174</v>
      </c>
      <c r="F149" s="26">
        <v>0.3449437145021021</v>
      </c>
      <c r="G149" s="26">
        <v>-0.12207401701427306</v>
      </c>
    </row>
    <row r="150" ht="14.25" customHeight="1">
      <c r="B150" s="25" t="s">
        <v>66</v>
      </c>
      <c r="C150" s="26">
        <v>-0.8663352487661855</v>
      </c>
      <c r="D150" s="26">
        <v>-0.09141333504547555</v>
      </c>
      <c r="E150" s="26">
        <v>1.271331187200467</v>
      </c>
      <c r="F150" s="26">
        <v>-0.17050469929054177</v>
      </c>
      <c r="G150" s="26">
        <v>1.01105166832111</v>
      </c>
    </row>
    <row r="151" ht="14.25" customHeight="1">
      <c r="B151" s="25" t="s">
        <v>67</v>
      </c>
      <c r="C151" s="26">
        <v>1.3277283554360966</v>
      </c>
      <c r="D151" s="26">
        <v>-0.6094096570597543</v>
      </c>
      <c r="E151" s="26">
        <v>-0.3245565330836619</v>
      </c>
      <c r="F151" s="26">
        <v>0.14518548748385088</v>
      </c>
      <c r="G151" s="26">
        <v>-0.29352305475188034</v>
      </c>
    </row>
    <row r="152" ht="14.25" customHeight="1">
      <c r="B152" s="25" t="s">
        <v>68</v>
      </c>
      <c r="C152" s="26">
        <v>-1.490660673911342</v>
      </c>
      <c r="D152" s="26">
        <v>0.7225347536363651</v>
      </c>
      <c r="E152" s="26">
        <v>2.4701895226839237</v>
      </c>
      <c r="F152" s="26">
        <v>-0.027022202022486726</v>
      </c>
      <c r="G152" s="26">
        <v>-0.5114456854729633</v>
      </c>
    </row>
    <row r="153" ht="14.25" customHeight="1">
      <c r="B153" s="25" t="s">
        <v>69</v>
      </c>
      <c r="C153" s="26">
        <v>-0.14072616933350662</v>
      </c>
      <c r="D153" s="26">
        <v>0.9736833433317071</v>
      </c>
      <c r="E153" s="26">
        <v>-0.08341318030171871</v>
      </c>
      <c r="F153" s="26">
        <v>-1.3631414474794898</v>
      </c>
      <c r="G153" s="26">
        <v>0.13797524521228133</v>
      </c>
    </row>
    <row r="154" ht="14.25" customHeight="1">
      <c r="B154" s="25" t="s">
        <v>70</v>
      </c>
      <c r="C154" s="26">
        <v>-0.16235904075268756</v>
      </c>
      <c r="D154" s="26">
        <v>0.4376106628179027</v>
      </c>
      <c r="E154" s="26">
        <v>-1.2797522004499389</v>
      </c>
      <c r="F154" s="26">
        <v>-0.3215959888680899</v>
      </c>
      <c r="G154" s="26">
        <v>-0.5102368114552887</v>
      </c>
    </row>
    <row r="155" ht="14.25" customHeight="1">
      <c r="B155" s="25" t="s">
        <v>71</v>
      </c>
      <c r="C155" s="26">
        <v>0.014019329543617585</v>
      </c>
      <c r="D155" s="26">
        <v>1.4779758816103366</v>
      </c>
      <c r="E155" s="26">
        <v>-0.5685150540246386</v>
      </c>
      <c r="F155" s="26">
        <v>-1.043607968323591</v>
      </c>
      <c r="G155" s="26">
        <v>-0.08080896294724474</v>
      </c>
    </row>
    <row r="156" ht="14.25" customHeight="1">
      <c r="B156" s="25" t="s">
        <v>72</v>
      </c>
      <c r="C156" s="26">
        <v>-1.4740816641213594</v>
      </c>
      <c r="D156" s="26">
        <v>1.0073984575695942</v>
      </c>
      <c r="E156" s="26">
        <v>0.582910237325469</v>
      </c>
      <c r="F156" s="26">
        <v>0.42767858760707156</v>
      </c>
      <c r="G156" s="26">
        <v>-0.055987983746487946</v>
      </c>
    </row>
    <row r="157" ht="14.25" customHeight="1">
      <c r="B157" s="25" t="s">
        <v>73</v>
      </c>
      <c r="C157" s="26">
        <v>1.5626700151782535</v>
      </c>
      <c r="D157" s="26">
        <v>0.8935497106092787</v>
      </c>
      <c r="E157" s="26">
        <v>-0.5386170898047657</v>
      </c>
      <c r="F157" s="26">
        <v>-0.8568902655936999</v>
      </c>
      <c r="G157" s="26">
        <v>-1.277475516924834</v>
      </c>
    </row>
    <row r="158" ht="14.25" customHeight="1">
      <c r="B158" s="25" t="s">
        <v>74</v>
      </c>
      <c r="C158" s="26">
        <v>-2.312632773716789</v>
      </c>
      <c r="D158" s="26">
        <v>0.5165948545523271</v>
      </c>
      <c r="E158" s="26">
        <v>-1.3206230620152806</v>
      </c>
      <c r="F158" s="26">
        <v>2.4591095689464684</v>
      </c>
      <c r="G158" s="26">
        <v>-0.026877529737167255</v>
      </c>
    </row>
    <row r="159" ht="14.25" customHeight="1">
      <c r="B159" s="25" t="s">
        <v>75</v>
      </c>
      <c r="C159" s="26">
        <v>0.2472861746941477</v>
      </c>
      <c r="D159" s="26">
        <v>1.5655223410541657</v>
      </c>
      <c r="E159" s="26">
        <v>0.5782100530468259</v>
      </c>
      <c r="F159" s="26">
        <v>0.573010429556501</v>
      </c>
      <c r="G159" s="26">
        <v>-0.37146831064113744</v>
      </c>
    </row>
    <row r="160" ht="14.25" customHeight="1">
      <c r="B160" s="27" t="s">
        <v>76</v>
      </c>
      <c r="C160" s="28">
        <v>4.667008151530752</v>
      </c>
      <c r="D160" s="28">
        <v>1.7569718739747795</v>
      </c>
      <c r="E160" s="28">
        <v>-0.0934562416021168</v>
      </c>
      <c r="F160" s="28">
        <v>0.8843434707814921</v>
      </c>
      <c r="G160" s="28">
        <v>0.8863545389375623</v>
      </c>
    </row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>
      <c r="F183" s="9" t="s">
        <v>53</v>
      </c>
    </row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>
      <c r="F203" s="9" t="s">
        <v>53</v>
      </c>
    </row>
    <row r="204" ht="14.25" customHeight="1"/>
    <row r="205" ht="14.25" customHeight="1"/>
    <row r="206" ht="14.25" customHeight="1">
      <c r="B206" s="9" t="s">
        <v>77</v>
      </c>
    </row>
    <row r="207" ht="14.25" customHeight="1"/>
    <row r="208" ht="14.25" customHeight="1">
      <c r="B208" s="11"/>
      <c r="C208" s="12" t="s">
        <v>43</v>
      </c>
      <c r="D208" s="12" t="s">
        <v>44</v>
      </c>
      <c r="E208" s="12" t="s">
        <v>45</v>
      </c>
      <c r="F208" s="12" t="s">
        <v>46</v>
      </c>
      <c r="G208" s="12" t="s">
        <v>47</v>
      </c>
    </row>
    <row r="209" ht="14.25" customHeight="1">
      <c r="B209" s="23" t="s">
        <v>61</v>
      </c>
      <c r="C209" s="24">
        <v>6.259075164709062</v>
      </c>
      <c r="D209" s="24">
        <v>50.37687422904563</v>
      </c>
      <c r="E209" s="24">
        <v>1.9155539529327585</v>
      </c>
      <c r="F209" s="24">
        <v>2.192616188947046</v>
      </c>
      <c r="G209" s="24">
        <v>11.143085862930485</v>
      </c>
    </row>
    <row r="210" ht="14.25" customHeight="1">
      <c r="B210" s="25" t="s">
        <v>62</v>
      </c>
      <c r="C210" s="26">
        <v>7.531317687082201</v>
      </c>
      <c r="D210" s="26">
        <v>6.324959292045028</v>
      </c>
      <c r="E210" s="26">
        <v>9.7249475597698</v>
      </c>
      <c r="F210" s="26">
        <v>13.598797276735047</v>
      </c>
      <c r="G210" s="26">
        <v>7.485535618121013</v>
      </c>
    </row>
    <row r="211" ht="14.25" customHeight="1">
      <c r="B211" s="25" t="s">
        <v>63</v>
      </c>
      <c r="C211" s="26">
        <v>0.80419156009752</v>
      </c>
      <c r="D211" s="26">
        <v>6.315547856734054</v>
      </c>
      <c r="E211" s="26">
        <v>0.27238847354292867</v>
      </c>
      <c r="F211" s="26">
        <v>0.9957988975165545</v>
      </c>
      <c r="G211" s="26">
        <v>11.976913443300164</v>
      </c>
    </row>
    <row r="212" ht="14.25" customHeight="1">
      <c r="B212" s="25" t="s">
        <v>64</v>
      </c>
      <c r="C212" s="26">
        <v>0.4889879875551562</v>
      </c>
      <c r="D212" s="26">
        <v>3.419143629982283</v>
      </c>
      <c r="E212" s="26">
        <v>1.3248746303210392</v>
      </c>
      <c r="F212" s="26">
        <v>2.562342543285019</v>
      </c>
      <c r="G212" s="26">
        <v>3.7135762970490687</v>
      </c>
    </row>
    <row r="213" ht="14.25" customHeight="1">
      <c r="B213" s="25" t="s">
        <v>65</v>
      </c>
      <c r="C213" s="26">
        <v>10.920274681677872</v>
      </c>
      <c r="D213" s="26">
        <v>0.2786100239902712</v>
      </c>
      <c r="E213" s="26">
        <v>0.5130502652002571</v>
      </c>
      <c r="F213" s="26">
        <v>0.8495780158789735</v>
      </c>
      <c r="G213" s="26">
        <v>0.2313802935254149</v>
      </c>
    </row>
    <row r="214" ht="14.25" customHeight="1">
      <c r="B214" s="25" t="s">
        <v>66</v>
      </c>
      <c r="C214" s="26">
        <v>1.517936080105725</v>
      </c>
      <c r="D214" s="26">
        <v>0.02348428580962322</v>
      </c>
      <c r="E214" s="26">
        <v>11.144768707399217</v>
      </c>
      <c r="F214" s="26">
        <v>0.20757712885542595</v>
      </c>
      <c r="G214" s="26">
        <v>15.87181512697902</v>
      </c>
    </row>
    <row r="215" ht="14.25" customHeight="1">
      <c r="B215" s="25" t="s">
        <v>67</v>
      </c>
      <c r="C215" s="26">
        <v>3.565331978801474</v>
      </c>
      <c r="D215" s="26">
        <v>1.0437029570932619</v>
      </c>
      <c r="E215" s="26">
        <v>0.7263306469150086</v>
      </c>
      <c r="F215" s="26">
        <v>0.15050579034123313</v>
      </c>
      <c r="G215" s="26">
        <v>1.33771726750058</v>
      </c>
    </row>
    <row r="216" ht="14.25" customHeight="1">
      <c r="B216" s="25" t="s">
        <v>68</v>
      </c>
      <c r="C216" s="26">
        <v>4.494062442012593</v>
      </c>
      <c r="D216" s="26">
        <v>1.4671541031493744</v>
      </c>
      <c r="E216" s="26">
        <v>42.0740393435797</v>
      </c>
      <c r="F216" s="26">
        <v>0.005213726765174949</v>
      </c>
      <c r="G216" s="26">
        <v>4.06142964516872</v>
      </c>
    </row>
    <row r="217" ht="14.25" customHeight="1">
      <c r="B217" s="25" t="s">
        <v>69</v>
      </c>
      <c r="C217" s="26">
        <v>0.04005264911674178</v>
      </c>
      <c r="D217" s="26">
        <v>2.6643650688240776</v>
      </c>
      <c r="E217" s="26">
        <v>0.04797588754677263</v>
      </c>
      <c r="F217" s="26">
        <v>13.267486078235791</v>
      </c>
      <c r="G217" s="26">
        <v>0.2955849005446933</v>
      </c>
    </row>
    <row r="218" ht="14.25" customHeight="1">
      <c r="B218" s="25" t="s">
        <v>70</v>
      </c>
      <c r="C218" s="26">
        <v>0.05331316521530001</v>
      </c>
      <c r="D218" s="26">
        <v>0.5381880381450428</v>
      </c>
      <c r="E218" s="26">
        <v>11.292898584813281</v>
      </c>
      <c r="F218" s="26">
        <v>0.7384618111104917</v>
      </c>
      <c r="G218" s="26">
        <v>4.042252811887613</v>
      </c>
    </row>
    <row r="219" ht="14.25" customHeight="1">
      <c r="B219" s="25" t="s">
        <v>71</v>
      </c>
      <c r="C219" s="26">
        <v>3.9749896578290827E-4</v>
      </c>
      <c r="D219" s="26">
        <v>6.1389337137957485</v>
      </c>
      <c r="E219" s="26">
        <v>2.228628070182197</v>
      </c>
      <c r="F219" s="26">
        <v>7.776453282221096</v>
      </c>
      <c r="G219" s="26">
        <v>0.10139089638184208</v>
      </c>
    </row>
    <row r="220" ht="14.25" customHeight="1">
      <c r="B220" s="25" t="s">
        <v>72</v>
      </c>
      <c r="C220" s="26">
        <v>4.394653132486816</v>
      </c>
      <c r="D220" s="26">
        <v>2.8520741543039256</v>
      </c>
      <c r="E220" s="26">
        <v>2.3429176463082433</v>
      </c>
      <c r="F220" s="26">
        <v>1.305995885624968</v>
      </c>
      <c r="G220" s="26">
        <v>0.04867091956211485</v>
      </c>
    </row>
    <row r="221" ht="14.25" customHeight="1">
      <c r="B221" s="25" t="s">
        <v>73</v>
      </c>
      <c r="C221" s="26">
        <v>4.938738958520454</v>
      </c>
      <c r="D221" s="26">
        <v>2.243859639259516</v>
      </c>
      <c r="E221" s="26">
        <v>2.000386505508665</v>
      </c>
      <c r="F221" s="26">
        <v>5.242726627664943</v>
      </c>
      <c r="G221" s="26">
        <v>25.33874302072997</v>
      </c>
    </row>
    <row r="222" ht="14.25" customHeight="1">
      <c r="B222" s="25" t="s">
        <v>74</v>
      </c>
      <c r="C222" s="26">
        <v>10.816702021699536</v>
      </c>
      <c r="D222" s="26">
        <v>0.7499950589002894</v>
      </c>
      <c r="E222" s="26">
        <v>12.025728984709412</v>
      </c>
      <c r="F222" s="26">
        <v>43.17800317201752</v>
      </c>
      <c r="G222" s="26">
        <v>0.011216531956411492</v>
      </c>
    </row>
    <row r="223" ht="14.25" customHeight="1">
      <c r="B223" s="25" t="s">
        <v>75</v>
      </c>
      <c r="C223" s="26">
        <v>0.12367479149033604</v>
      </c>
      <c r="D223" s="26">
        <v>6.887740703053085</v>
      </c>
      <c r="E223" s="26">
        <v>2.3052866464300683</v>
      </c>
      <c r="F223" s="26">
        <v>2.3444007301331458</v>
      </c>
      <c r="G223" s="26">
        <v>2.142512860053889</v>
      </c>
    </row>
    <row r="224" ht="14.25" customHeight="1">
      <c r="B224" s="27" t="s">
        <v>76</v>
      </c>
      <c r="C224" s="28">
        <v>44.051290200463505</v>
      </c>
      <c r="D224" s="28">
        <v>8.675367245868847</v>
      </c>
      <c r="E224" s="28">
        <v>0.06022409484065206</v>
      </c>
      <c r="F224" s="28">
        <v>5.584042844667523</v>
      </c>
      <c r="G224" s="28">
        <v>12.198174504309033</v>
      </c>
    </row>
    <row r="225" ht="14.25" customHeight="1"/>
    <row r="226" ht="14.25" customHeight="1"/>
    <row r="227" ht="14.25" customHeight="1">
      <c r="B227" s="9" t="s">
        <v>78</v>
      </c>
    </row>
    <row r="228" ht="14.25" customHeight="1"/>
    <row r="229" ht="14.25" customHeight="1">
      <c r="B229" s="11"/>
      <c r="C229" s="12" t="s">
        <v>79</v>
      </c>
    </row>
    <row r="230" ht="14.25" customHeight="1">
      <c r="B230" s="23" t="s">
        <v>43</v>
      </c>
      <c r="C230" s="24">
        <v>0.3125</v>
      </c>
    </row>
    <row r="231" ht="14.25" customHeight="1">
      <c r="B231" s="25" t="s">
        <v>44</v>
      </c>
      <c r="C231" s="26">
        <v>0.3125</v>
      </c>
    </row>
    <row r="232" ht="14.25" customHeight="1">
      <c r="B232" s="25" t="s">
        <v>45</v>
      </c>
      <c r="C232" s="26">
        <v>0.3125</v>
      </c>
    </row>
    <row r="233" ht="14.25" customHeight="1">
      <c r="B233" s="25" t="s">
        <v>46</v>
      </c>
      <c r="C233" s="26">
        <v>0.25000000000000006</v>
      </c>
    </row>
    <row r="234" ht="14.25" customHeight="1">
      <c r="B234" s="27" t="s">
        <v>47</v>
      </c>
      <c r="C234" s="28">
        <v>0.375</v>
      </c>
    </row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>
      <c r="F254" s="9" t="s">
        <v>53</v>
      </c>
    </row>
    <row r="255" ht="14.25" customHeight="1"/>
    <row r="256" ht="14.25" customHeight="1"/>
    <row r="257" ht="14.25" customHeight="1">
      <c r="B257" s="9" t="s">
        <v>80</v>
      </c>
    </row>
    <row r="258" ht="14.25" customHeight="1"/>
    <row r="259" ht="14.25" customHeight="1">
      <c r="B259" s="11"/>
      <c r="C259" s="12" t="s">
        <v>43</v>
      </c>
      <c r="D259" s="12" t="s">
        <v>44</v>
      </c>
      <c r="E259" s="12" t="s">
        <v>45</v>
      </c>
      <c r="F259" s="12" t="s">
        <v>46</v>
      </c>
      <c r="G259" s="12" t="s">
        <v>47</v>
      </c>
    </row>
    <row r="260" ht="14.25" customHeight="1">
      <c r="B260" s="23" t="s">
        <v>61</v>
      </c>
      <c r="C260" s="24">
        <v>0.1379113401843945</v>
      </c>
      <c r="D260" s="29">
        <v>0.7988114712858438</v>
      </c>
      <c r="E260" s="24">
        <v>0.012379755185260079</v>
      </c>
      <c r="F260" s="24">
        <v>0.013684443717970238</v>
      </c>
      <c r="G260" s="24">
        <v>0.03198135843562679</v>
      </c>
    </row>
    <row r="261" ht="14.25" customHeight="1">
      <c r="B261" s="25" t="s">
        <v>62</v>
      </c>
      <c r="C261" s="30">
        <v>0.37947319621147324</v>
      </c>
      <c r="D261" s="26">
        <v>0.22934598231186976</v>
      </c>
      <c r="E261" s="26">
        <v>0.14372266507644835</v>
      </c>
      <c r="F261" s="26">
        <v>0.19408204380978514</v>
      </c>
      <c r="G261" s="26">
        <v>0.04912862812424183</v>
      </c>
    </row>
    <row r="262" ht="14.25" customHeight="1">
      <c r="B262" s="25" t="s">
        <v>63</v>
      </c>
      <c r="C262" s="26">
        <v>0.1024612813795861</v>
      </c>
      <c r="D262" s="30">
        <v>0.5790746673687273</v>
      </c>
      <c r="E262" s="26">
        <v>0.01017927515082392</v>
      </c>
      <c r="F262" s="26">
        <v>0.035937398264436926</v>
      </c>
      <c r="G262" s="26">
        <v>0.1987681524043529</v>
      </c>
    </row>
    <row r="263" ht="14.25" customHeight="1">
      <c r="B263" s="25" t="s">
        <v>64</v>
      </c>
      <c r="C263" s="26">
        <v>0.05279274708230277</v>
      </c>
      <c r="D263" s="30">
        <v>0.26565419582211125</v>
      </c>
      <c r="E263" s="26">
        <v>0.04195451554893875</v>
      </c>
      <c r="F263" s="26">
        <v>0.07835883629613925</v>
      </c>
      <c r="G263" s="26">
        <v>0.05222398883636438</v>
      </c>
    </row>
    <row r="264" ht="14.25" customHeight="1">
      <c r="B264" s="25" t="s">
        <v>65</v>
      </c>
      <c r="C264" s="30">
        <v>0.8309226014480352</v>
      </c>
      <c r="D264" s="26">
        <v>0.015256222409604874</v>
      </c>
      <c r="E264" s="26">
        <v>0.011450245068716548</v>
      </c>
      <c r="F264" s="26">
        <v>0.018310702013884652</v>
      </c>
      <c r="G264" s="26">
        <v>0.002293268973320041</v>
      </c>
    </row>
    <row r="265" ht="14.25" customHeight="1">
      <c r="B265" s="25" t="s">
        <v>66</v>
      </c>
      <c r="C265" s="26">
        <v>0.19431086981609694</v>
      </c>
      <c r="D265" s="26">
        <v>0.0021634369017392184</v>
      </c>
      <c r="E265" s="30">
        <v>0.4184489935144065</v>
      </c>
      <c r="F265" s="26">
        <v>0.007526582599481853</v>
      </c>
      <c r="G265" s="26">
        <v>0.26464995602780944</v>
      </c>
    </row>
    <row r="266" ht="14.25" customHeight="1">
      <c r="B266" s="25" t="s">
        <v>67</v>
      </c>
      <c r="C266" s="30">
        <v>0.6334058275027511</v>
      </c>
      <c r="D266" s="26">
        <v>0.13343884005833995</v>
      </c>
      <c r="E266" s="26">
        <v>0.037848119410911124</v>
      </c>
      <c r="F266" s="26">
        <v>0.007573733307809781</v>
      </c>
      <c r="G266" s="26">
        <v>0.03095622760893459</v>
      </c>
    </row>
    <row r="267" ht="14.25" customHeight="1">
      <c r="B267" s="25" t="s">
        <v>68</v>
      </c>
      <c r="C267" s="26">
        <v>0.23607423175218403</v>
      </c>
      <c r="D267" s="26">
        <v>0.05546365417191959</v>
      </c>
      <c r="E267" s="30">
        <v>0.648263466589632</v>
      </c>
      <c r="F267" s="26">
        <v>7.757690868305409E-5</v>
      </c>
      <c r="G267" s="26">
        <v>0.02779009524143582</v>
      </c>
    </row>
    <row r="268" ht="14.25" customHeight="1">
      <c r="B268" s="25" t="s">
        <v>69</v>
      </c>
      <c r="C268" s="26">
        <v>0.006550500068294637</v>
      </c>
      <c r="D268" s="26">
        <v>0.31358855561559845</v>
      </c>
      <c r="E268" s="26">
        <v>0.002301410463186722</v>
      </c>
      <c r="F268" s="30">
        <v>0.6146198321051282</v>
      </c>
      <c r="G268" s="26">
        <v>0.006296904004789983</v>
      </c>
    </row>
    <row r="269" ht="14.25" customHeight="1">
      <c r="B269" s="25" t="s">
        <v>70</v>
      </c>
      <c r="C269" s="26">
        <v>0.011221435263863143</v>
      </c>
      <c r="D269" s="26">
        <v>0.0815213279974672</v>
      </c>
      <c r="E269" s="30">
        <v>0.6971836998913149</v>
      </c>
      <c r="F269" s="26">
        <v>0.044026757498108623</v>
      </c>
      <c r="G269" s="26">
        <v>0.11082532938084363</v>
      </c>
    </row>
    <row r="270" ht="14.25" customHeight="1">
      <c r="B270" s="25" t="s">
        <v>71</v>
      </c>
      <c r="C270" s="26">
        <v>4.89741396977695E-5</v>
      </c>
      <c r="D270" s="30">
        <v>0.5443108867925657</v>
      </c>
      <c r="E270" s="26">
        <v>0.08053715144993237</v>
      </c>
      <c r="F270" s="26">
        <v>0.27138578725534207</v>
      </c>
      <c r="G270" s="26">
        <v>0.0016271642476127276</v>
      </c>
    </row>
    <row r="271" ht="14.25" customHeight="1">
      <c r="B271" s="25" t="s">
        <v>72</v>
      </c>
      <c r="C271" s="30">
        <v>0.5390625890418811</v>
      </c>
      <c r="D271" s="26">
        <v>0.25176692045863447</v>
      </c>
      <c r="E271" s="26">
        <v>0.08429454483322604</v>
      </c>
      <c r="F271" s="26">
        <v>0.04537651298903258</v>
      </c>
      <c r="G271" s="26">
        <v>7.77652836309515E-4</v>
      </c>
    </row>
    <row r="272" ht="14.25" customHeight="1">
      <c r="B272" s="25" t="s">
        <v>73</v>
      </c>
      <c r="C272" s="30">
        <v>0.39446387484507894</v>
      </c>
      <c r="D272" s="26">
        <v>0.12897635990696313</v>
      </c>
      <c r="E272" s="26">
        <v>0.04686330749776971</v>
      </c>
      <c r="F272" s="26">
        <v>0.1186104891970301</v>
      </c>
      <c r="G272" s="26">
        <v>0.26361969291360765</v>
      </c>
    </row>
    <row r="273" ht="14.25" customHeight="1">
      <c r="B273" s="25" t="s">
        <v>74</v>
      </c>
      <c r="C273" s="26">
        <v>0.38794963528479104</v>
      </c>
      <c r="D273" s="26">
        <v>0.019358074112175147</v>
      </c>
      <c r="E273" s="26">
        <v>0.12650851273092403</v>
      </c>
      <c r="F273" s="30">
        <v>0.43864961792484725</v>
      </c>
      <c r="G273" s="26">
        <v>5.240113550104172E-5</v>
      </c>
    </row>
    <row r="274" ht="14.25" customHeight="1">
      <c r="B274" s="25" t="s">
        <v>75</v>
      </c>
      <c r="C274" s="26">
        <v>0.013540613441749347</v>
      </c>
      <c r="D274" s="30">
        <v>0.5426967320996433</v>
      </c>
      <c r="E274" s="26">
        <v>0.0740303740313915</v>
      </c>
      <c r="F274" s="26">
        <v>0.07270490656574251</v>
      </c>
      <c r="G274" s="26">
        <v>0.030554994405507564</v>
      </c>
    </row>
    <row r="275" ht="14.25" customHeight="1">
      <c r="B275" s="27" t="s">
        <v>76</v>
      </c>
      <c r="C275" s="31">
        <v>0.8121014204425643</v>
      </c>
      <c r="D275" s="28">
        <v>0.11509667292718204</v>
      </c>
      <c r="E275" s="28">
        <v>3.2564901920766233E-4</v>
      </c>
      <c r="F275" s="28">
        <v>0.02915916602572229</v>
      </c>
      <c r="G275" s="28">
        <v>0.029291937396679183</v>
      </c>
    </row>
    <row r="276" ht="14.25" customHeight="1">
      <c r="B276" s="32" t="s">
        <v>81</v>
      </c>
    </row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B1:L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4.25" customHeight="1">
      <c r="A1" s="9">
        <v>-0.9533820969922915</v>
      </c>
      <c r="B1" s="9">
        <v>-4.174255047915317</v>
      </c>
      <c r="C1" s="9">
        <v>1.7591963955809242</v>
      </c>
      <c r="D1" s="9">
        <v>-4.233859905868836</v>
      </c>
    </row>
    <row r="2" ht="14.25" customHeight="1">
      <c r="A2" s="9">
        <v>1.585327450732024</v>
      </c>
      <c r="B2" s="9">
        <v>3.02411429641751</v>
      </c>
      <c r="C2" s="9">
        <v>-1.9297219052054981</v>
      </c>
      <c r="D2" s="9">
        <v>-1.5002020079289229</v>
      </c>
    </row>
    <row r="3" ht="14.25" customHeight="1">
      <c r="A3" s="9">
        <v>3.733606521224602</v>
      </c>
      <c r="B3" s="9">
        <v>0.33995202513815576</v>
      </c>
      <c r="C3" s="9">
        <v>0.6305782668010704</v>
      </c>
      <c r="D3" s="9">
        <v>-1.499085454474573</v>
      </c>
    </row>
    <row r="4" ht="14.25" customHeight="1">
      <c r="A4" s="9">
        <v>-0.5757747609845056</v>
      </c>
      <c r="B4" s="9">
        <v>4.034186818148388</v>
      </c>
      <c r="C4" s="9">
        <v>0.49170920465630885</v>
      </c>
      <c r="D4" s="9">
        <v>-1.1030102480318782</v>
      </c>
    </row>
    <row r="5" ht="14.25" customHeight="1">
      <c r="A5" s="9">
        <v>3.224550124981306</v>
      </c>
      <c r="B5" s="9">
        <v>0.44986775773139753</v>
      </c>
      <c r="C5" s="9">
        <v>-2.3236784176138037</v>
      </c>
      <c r="D5" s="9">
        <v>-0.31486127074702785</v>
      </c>
    </row>
    <row r="6" ht="14.25" customHeight="1">
      <c r="A6" s="9">
        <v>3.036184256178776</v>
      </c>
      <c r="B6" s="9">
        <v>-1.2448612246740933</v>
      </c>
      <c r="C6" s="9">
        <v>-0.8663352487661855</v>
      </c>
      <c r="D6" s="9">
        <v>-0.09141333504547555</v>
      </c>
    </row>
    <row r="7" ht="14.25" customHeight="1">
      <c r="A7" s="9">
        <v>-1.9222721107991347</v>
      </c>
      <c r="B7" s="9">
        <v>1.3859133949218332</v>
      </c>
      <c r="C7" s="9">
        <v>1.3277283554360966</v>
      </c>
      <c r="D7" s="9">
        <v>-0.6094096570597543</v>
      </c>
    </row>
    <row r="8" ht="14.25" customHeight="1">
      <c r="A8" s="9">
        <v>-2.59473448144688</v>
      </c>
      <c r="B8" s="9">
        <v>1.0510616872713943</v>
      </c>
      <c r="C8" s="9">
        <v>-1.490660673911342</v>
      </c>
      <c r="D8" s="9">
        <v>0.7225347536363651</v>
      </c>
    </row>
    <row r="9" ht="14.25" customHeight="1">
      <c r="C9" s="9">
        <v>-0.14072616933350662</v>
      </c>
      <c r="D9" s="9">
        <v>0.9736833433317071</v>
      </c>
    </row>
    <row r="10" ht="14.25" customHeight="1">
      <c r="C10" s="9">
        <v>-0.16235904075268756</v>
      </c>
      <c r="D10" s="9">
        <v>0.4376106628179027</v>
      </c>
    </row>
    <row r="11" ht="14.25" customHeight="1">
      <c r="C11" s="9">
        <v>0.014019329543617585</v>
      </c>
      <c r="D11" s="9">
        <v>1.4779758816103366</v>
      </c>
    </row>
    <row r="12" ht="14.25" customHeight="1">
      <c r="C12" s="9">
        <v>-1.4740816641213594</v>
      </c>
      <c r="D12" s="9">
        <v>1.0073984575695942</v>
      </c>
    </row>
    <row r="13" ht="14.25" customHeight="1">
      <c r="C13" s="9">
        <v>1.5626700151782535</v>
      </c>
      <c r="D13" s="9">
        <v>0.8935497106092787</v>
      </c>
    </row>
    <row r="14" ht="14.25" customHeight="1">
      <c r="C14" s="9">
        <v>-2.312632773716789</v>
      </c>
      <c r="D14" s="9">
        <v>0.5165948545523271</v>
      </c>
    </row>
    <row r="15" ht="14.25" customHeight="1">
      <c r="C15" s="9">
        <v>0.2472861746941477</v>
      </c>
      <c r="D15" s="9">
        <v>1.5655223410541657</v>
      </c>
    </row>
    <row r="16" ht="14.25" customHeight="1">
      <c r="C16" s="9">
        <v>4.667008151530752</v>
      </c>
      <c r="D16" s="9">
        <v>1.7569718739747795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4.25" customHeight="1">
      <c r="A1" s="9">
        <v>1.7591963955809242</v>
      </c>
      <c r="B1" s="9">
        <v>-4.233859905868836</v>
      </c>
    </row>
    <row r="2" ht="14.25" customHeight="1">
      <c r="A2" s="9">
        <v>-1.9297219052054981</v>
      </c>
      <c r="B2" s="9">
        <v>-1.5002020079289229</v>
      </c>
    </row>
    <row r="3" ht="14.25" customHeight="1">
      <c r="A3" s="9">
        <v>0.6305782668010704</v>
      </c>
      <c r="B3" s="9">
        <v>-1.499085454474573</v>
      </c>
    </row>
    <row r="4" ht="14.25" customHeight="1">
      <c r="A4" s="9">
        <v>0.49170920465630885</v>
      </c>
      <c r="B4" s="9">
        <v>-1.1030102480318782</v>
      </c>
    </row>
    <row r="5" ht="14.25" customHeight="1">
      <c r="A5" s="9">
        <v>-2.3236784176138037</v>
      </c>
      <c r="B5" s="9">
        <v>-0.31486127074702785</v>
      </c>
    </row>
    <row r="6" ht="14.25" customHeight="1">
      <c r="A6" s="9">
        <v>-0.8663352487661855</v>
      </c>
      <c r="B6" s="9">
        <v>-0.09141333504547555</v>
      </c>
    </row>
    <row r="7" ht="14.25" customHeight="1">
      <c r="A7" s="9">
        <v>1.3277283554360966</v>
      </c>
      <c r="B7" s="9">
        <v>-0.6094096570597543</v>
      </c>
    </row>
    <row r="8" ht="14.25" customHeight="1">
      <c r="A8" s="9">
        <v>-1.490660673911342</v>
      </c>
      <c r="B8" s="9">
        <v>0.7225347536363651</v>
      </c>
    </row>
    <row r="9" ht="14.25" customHeight="1">
      <c r="A9" s="9">
        <v>-0.14072616933350662</v>
      </c>
      <c r="B9" s="9">
        <v>0.9736833433317071</v>
      </c>
    </row>
    <row r="10" ht="14.25" customHeight="1">
      <c r="A10" s="9">
        <v>-0.16235904075268756</v>
      </c>
      <c r="B10" s="9">
        <v>0.4376106628179027</v>
      </c>
    </row>
    <row r="11" ht="14.25" customHeight="1">
      <c r="A11" s="9">
        <v>0.014019329543617585</v>
      </c>
      <c r="B11" s="9">
        <v>1.4779758816103366</v>
      </c>
    </row>
    <row r="12" ht="14.25" customHeight="1">
      <c r="A12" s="9">
        <v>-1.4740816641213594</v>
      </c>
      <c r="B12" s="9">
        <v>1.0073984575695942</v>
      </c>
    </row>
    <row r="13" ht="14.25" customHeight="1">
      <c r="A13" s="9">
        <v>1.5626700151782535</v>
      </c>
      <c r="B13" s="9">
        <v>0.8935497106092787</v>
      </c>
    </row>
    <row r="14" ht="14.25" customHeight="1">
      <c r="A14" s="9">
        <v>-2.312632773716789</v>
      </c>
      <c r="B14" s="9">
        <v>0.5165948545523271</v>
      </c>
    </row>
    <row r="15" ht="14.25" customHeight="1">
      <c r="A15" s="9">
        <v>0.2472861746941477</v>
      </c>
      <c r="B15" s="9">
        <v>1.5655223410541657</v>
      </c>
    </row>
    <row r="16" ht="14.25" customHeight="1">
      <c r="A16" s="9">
        <v>4.667008151530752</v>
      </c>
      <c r="B16" s="9">
        <v>1.7569718739747795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4.25" customHeight="1">
      <c r="A1" s="9">
        <v>1.0</v>
      </c>
      <c r="B1" s="9">
        <f t="shared" ref="B1:B500" si="1">-3.1415926536+(A1-1)*0.0125915537</f>
        <v>-3.141592654</v>
      </c>
      <c r="C1" s="9">
        <f t="shared" ref="C1:C500" si="2">1*COS(B1)+0</f>
        <v>-1</v>
      </c>
      <c r="D1" s="9">
        <f t="shared" ref="D1:D500" si="3">1*SIN(B1)+0+0*COS(B1)</f>
        <v>0</v>
      </c>
    </row>
    <row r="2" ht="14.25" customHeight="1">
      <c r="A2" s="9">
        <v>2.0</v>
      </c>
      <c r="B2" s="9">
        <f t="shared" si="1"/>
        <v>-3.1290011</v>
      </c>
      <c r="C2" s="9">
        <f t="shared" si="2"/>
        <v>-0.9999207274</v>
      </c>
      <c r="D2" s="9">
        <f t="shared" si="3"/>
        <v>-0.01259122097</v>
      </c>
    </row>
    <row r="3" ht="14.25" customHeight="1">
      <c r="A3" s="9">
        <v>3.0</v>
      </c>
      <c r="B3" s="9">
        <f t="shared" si="1"/>
        <v>-3.116409546</v>
      </c>
      <c r="C3" s="9">
        <f t="shared" si="2"/>
        <v>-0.9996829223</v>
      </c>
      <c r="D3" s="9">
        <f t="shared" si="3"/>
        <v>-0.02518044567</v>
      </c>
    </row>
    <row r="4" ht="14.25" customHeight="1">
      <c r="A4" s="9">
        <v>4.0</v>
      </c>
      <c r="B4" s="9">
        <f t="shared" si="1"/>
        <v>-3.103817993</v>
      </c>
      <c r="C4" s="9">
        <f t="shared" si="2"/>
        <v>-0.9992866223</v>
      </c>
      <c r="D4" s="9">
        <f t="shared" si="3"/>
        <v>-0.03776567813</v>
      </c>
    </row>
    <row r="5" ht="14.25" customHeight="1">
      <c r="A5" s="9">
        <v>5.0</v>
      </c>
      <c r="B5" s="9">
        <f t="shared" si="1"/>
        <v>-3.091226439</v>
      </c>
      <c r="C5" s="9">
        <f t="shared" si="2"/>
        <v>-0.9987318903</v>
      </c>
      <c r="D5" s="9">
        <f t="shared" si="3"/>
        <v>-0.05034492303</v>
      </c>
    </row>
    <row r="6" ht="14.25" customHeight="1">
      <c r="A6" s="9">
        <v>6.0</v>
      </c>
      <c r="B6" s="9">
        <f t="shared" si="1"/>
        <v>-3.078634885</v>
      </c>
      <c r="C6" s="9">
        <f t="shared" si="2"/>
        <v>-0.9980188142</v>
      </c>
      <c r="D6" s="9">
        <f t="shared" si="3"/>
        <v>-0.06291618598</v>
      </c>
    </row>
    <row r="7" ht="14.25" customHeight="1">
      <c r="A7" s="9">
        <v>7.0</v>
      </c>
      <c r="B7" s="9">
        <f t="shared" si="1"/>
        <v>-3.066043331</v>
      </c>
      <c r="C7" s="9">
        <f t="shared" si="2"/>
        <v>-0.9971475071</v>
      </c>
      <c r="D7" s="9">
        <f t="shared" si="3"/>
        <v>-0.07547747389</v>
      </c>
    </row>
    <row r="8" ht="14.25" customHeight="1">
      <c r="A8" s="9">
        <v>8.0</v>
      </c>
      <c r="B8" s="9">
        <f t="shared" si="1"/>
        <v>-3.053451778</v>
      </c>
      <c r="C8" s="9">
        <f t="shared" si="2"/>
        <v>-0.9961181071</v>
      </c>
      <c r="D8" s="9">
        <f t="shared" si="3"/>
        <v>-0.0880267952</v>
      </c>
    </row>
    <row r="9" ht="14.25" customHeight="1">
      <c r="A9" s="9">
        <v>9.0</v>
      </c>
      <c r="B9" s="9">
        <f t="shared" si="1"/>
        <v>-3.040860224</v>
      </c>
      <c r="C9" s="9">
        <f t="shared" si="2"/>
        <v>-0.9949307774</v>
      </c>
      <c r="D9" s="9">
        <f t="shared" si="3"/>
        <v>-0.1005621603</v>
      </c>
    </row>
    <row r="10" ht="14.25" customHeight="1">
      <c r="A10" s="9">
        <v>10.0</v>
      </c>
      <c r="B10" s="9">
        <f t="shared" si="1"/>
        <v>-3.02826867</v>
      </c>
      <c r="C10" s="9">
        <f t="shared" si="2"/>
        <v>-0.9935857064</v>
      </c>
      <c r="D10" s="9">
        <f t="shared" si="3"/>
        <v>-0.1130815818</v>
      </c>
    </row>
    <row r="11" ht="14.25" customHeight="1">
      <c r="A11" s="9">
        <v>11.0</v>
      </c>
      <c r="B11" s="9">
        <f t="shared" si="1"/>
        <v>-3.015677117</v>
      </c>
      <c r="C11" s="9">
        <f t="shared" si="2"/>
        <v>-0.9920831071</v>
      </c>
      <c r="D11" s="9">
        <f t="shared" si="3"/>
        <v>-0.1255830747</v>
      </c>
    </row>
    <row r="12" ht="14.25" customHeight="1">
      <c r="A12" s="9">
        <v>12.0</v>
      </c>
      <c r="B12" s="9">
        <f t="shared" si="1"/>
        <v>-3.003085563</v>
      </c>
      <c r="C12" s="9">
        <f t="shared" si="2"/>
        <v>-0.9904232179</v>
      </c>
      <c r="D12" s="9">
        <f t="shared" si="3"/>
        <v>-0.138064657</v>
      </c>
    </row>
    <row r="13" ht="14.25" customHeight="1">
      <c r="A13" s="9">
        <v>13.0</v>
      </c>
      <c r="B13" s="9">
        <f t="shared" si="1"/>
        <v>-2.990494009</v>
      </c>
      <c r="C13" s="9">
        <f t="shared" si="2"/>
        <v>-0.9886063019</v>
      </c>
      <c r="D13" s="9">
        <f t="shared" si="3"/>
        <v>-0.1505243499</v>
      </c>
    </row>
    <row r="14" ht="14.25" customHeight="1">
      <c r="A14" s="9">
        <v>14.0</v>
      </c>
      <c r="B14" s="9">
        <f t="shared" si="1"/>
        <v>-2.977902456</v>
      </c>
      <c r="C14" s="9">
        <f t="shared" si="2"/>
        <v>-0.9866326472</v>
      </c>
      <c r="D14" s="9">
        <f t="shared" si="3"/>
        <v>-0.1629601778</v>
      </c>
    </row>
    <row r="15" ht="14.25" customHeight="1">
      <c r="A15" s="9">
        <v>15.0</v>
      </c>
      <c r="B15" s="9">
        <f t="shared" si="1"/>
        <v>-2.965310902</v>
      </c>
      <c r="C15" s="9">
        <f t="shared" si="2"/>
        <v>-0.9845025667</v>
      </c>
      <c r="D15" s="9">
        <f t="shared" si="3"/>
        <v>-0.1753701692</v>
      </c>
    </row>
    <row r="16" ht="14.25" customHeight="1">
      <c r="A16" s="9">
        <v>16.0</v>
      </c>
      <c r="B16" s="9">
        <f t="shared" si="1"/>
        <v>-2.952719348</v>
      </c>
      <c r="C16" s="9">
        <f t="shared" si="2"/>
        <v>-0.9822163981</v>
      </c>
      <c r="D16" s="9">
        <f t="shared" si="3"/>
        <v>-0.1877523566</v>
      </c>
    </row>
    <row r="17" ht="14.25" customHeight="1">
      <c r="A17" s="9">
        <v>17.0</v>
      </c>
      <c r="B17" s="9">
        <f t="shared" si="1"/>
        <v>-2.940127794</v>
      </c>
      <c r="C17" s="9">
        <f t="shared" si="2"/>
        <v>-0.9797745038</v>
      </c>
      <c r="D17" s="9">
        <f t="shared" si="3"/>
        <v>-0.2001047767</v>
      </c>
    </row>
    <row r="18" ht="14.25" customHeight="1">
      <c r="A18" s="9">
        <v>18.0</v>
      </c>
      <c r="B18" s="9">
        <f t="shared" si="1"/>
        <v>-2.927536241</v>
      </c>
      <c r="C18" s="9">
        <f t="shared" si="2"/>
        <v>-0.9771772711</v>
      </c>
      <c r="D18" s="9">
        <f t="shared" si="3"/>
        <v>-0.2124254711</v>
      </c>
    </row>
    <row r="19" ht="14.25" customHeight="1">
      <c r="A19" s="9">
        <v>19.0</v>
      </c>
      <c r="B19" s="9">
        <f t="shared" si="1"/>
        <v>-2.914944687</v>
      </c>
      <c r="C19" s="9">
        <f t="shared" si="2"/>
        <v>-0.9744251117</v>
      </c>
      <c r="D19" s="9">
        <f t="shared" si="3"/>
        <v>-0.2247124866</v>
      </c>
    </row>
    <row r="20" ht="14.25" customHeight="1">
      <c r="A20" s="9">
        <v>20.0</v>
      </c>
      <c r="B20" s="9">
        <f t="shared" si="1"/>
        <v>-2.902353133</v>
      </c>
      <c r="C20" s="9">
        <f t="shared" si="2"/>
        <v>-0.971518462</v>
      </c>
      <c r="D20" s="9">
        <f t="shared" si="3"/>
        <v>-0.2369638749</v>
      </c>
    </row>
    <row r="21" ht="14.25" customHeight="1">
      <c r="A21" s="9">
        <v>21.0</v>
      </c>
      <c r="B21" s="9">
        <f t="shared" si="1"/>
        <v>-2.88976158</v>
      </c>
      <c r="C21" s="9">
        <f t="shared" si="2"/>
        <v>-0.9684577827</v>
      </c>
      <c r="D21" s="9">
        <f t="shared" si="3"/>
        <v>-0.2491776938</v>
      </c>
    </row>
    <row r="22" ht="14.25" customHeight="1">
      <c r="A22" s="9">
        <v>22.0</v>
      </c>
      <c r="B22" s="9">
        <f t="shared" si="1"/>
        <v>-2.877170026</v>
      </c>
      <c r="C22" s="9">
        <f t="shared" si="2"/>
        <v>-0.9652435592</v>
      </c>
      <c r="D22" s="9">
        <f t="shared" si="3"/>
        <v>-0.2613520068</v>
      </c>
    </row>
    <row r="23" ht="14.25" customHeight="1">
      <c r="A23" s="9">
        <v>23.0</v>
      </c>
      <c r="B23" s="9">
        <f t="shared" si="1"/>
        <v>-2.864578472</v>
      </c>
      <c r="C23" s="9">
        <f t="shared" si="2"/>
        <v>-0.961876301</v>
      </c>
      <c r="D23" s="9">
        <f t="shared" si="3"/>
        <v>-0.2734848837</v>
      </c>
    </row>
    <row r="24" ht="14.25" customHeight="1">
      <c r="A24" s="9">
        <v>24.0</v>
      </c>
      <c r="B24" s="9">
        <f t="shared" si="1"/>
        <v>-2.851986919</v>
      </c>
      <c r="C24" s="9">
        <f t="shared" si="2"/>
        <v>-0.958356542</v>
      </c>
      <c r="D24" s="9">
        <f t="shared" si="3"/>
        <v>-0.285574401</v>
      </c>
    </row>
    <row r="25" ht="14.25" customHeight="1">
      <c r="A25" s="9">
        <v>25.0</v>
      </c>
      <c r="B25" s="9">
        <f t="shared" si="1"/>
        <v>-2.839395365</v>
      </c>
      <c r="C25" s="9">
        <f t="shared" si="2"/>
        <v>-0.9546848402</v>
      </c>
      <c r="D25" s="9">
        <f t="shared" si="3"/>
        <v>-0.2976186417</v>
      </c>
    </row>
    <row r="26" ht="14.25" customHeight="1">
      <c r="A26" s="9">
        <v>26.0</v>
      </c>
      <c r="B26" s="9">
        <f t="shared" si="1"/>
        <v>-2.826803811</v>
      </c>
      <c r="C26" s="9">
        <f t="shared" si="2"/>
        <v>-0.9508617778</v>
      </c>
      <c r="D26" s="9">
        <f t="shared" si="3"/>
        <v>-0.3096156965</v>
      </c>
    </row>
    <row r="27" ht="14.25" customHeight="1">
      <c r="A27" s="9">
        <v>27.0</v>
      </c>
      <c r="B27" s="9">
        <f t="shared" si="1"/>
        <v>-2.814212257</v>
      </c>
      <c r="C27" s="9">
        <f t="shared" si="2"/>
        <v>-0.9468879609</v>
      </c>
      <c r="D27" s="9">
        <f t="shared" si="3"/>
        <v>-0.3215636633</v>
      </c>
    </row>
    <row r="28" ht="14.25" customHeight="1">
      <c r="A28" s="9">
        <v>28.0</v>
      </c>
      <c r="B28" s="9">
        <f t="shared" si="1"/>
        <v>-2.801620704</v>
      </c>
      <c r="C28" s="9">
        <f t="shared" si="2"/>
        <v>-0.9427640195</v>
      </c>
      <c r="D28" s="9">
        <f t="shared" si="3"/>
        <v>-0.3334606476</v>
      </c>
    </row>
    <row r="29" ht="14.25" customHeight="1">
      <c r="A29" s="9">
        <v>29.0</v>
      </c>
      <c r="B29" s="9">
        <f t="shared" si="1"/>
        <v>-2.78902915</v>
      </c>
      <c r="C29" s="9">
        <f t="shared" si="2"/>
        <v>-0.9384906075</v>
      </c>
      <c r="D29" s="9">
        <f t="shared" si="3"/>
        <v>-0.3453047635</v>
      </c>
    </row>
    <row r="30" ht="14.25" customHeight="1">
      <c r="A30" s="9">
        <v>30.0</v>
      </c>
      <c r="B30" s="9">
        <f t="shared" si="1"/>
        <v>-2.776437596</v>
      </c>
      <c r="C30" s="9">
        <f t="shared" si="2"/>
        <v>-0.9340684023</v>
      </c>
      <c r="D30" s="9">
        <f t="shared" si="3"/>
        <v>-0.3570941329</v>
      </c>
    </row>
    <row r="31" ht="14.25" customHeight="1">
      <c r="A31" s="9">
        <v>31.0</v>
      </c>
      <c r="B31" s="9">
        <f t="shared" si="1"/>
        <v>-2.763846043</v>
      </c>
      <c r="C31" s="9">
        <f t="shared" si="2"/>
        <v>-0.9294981052</v>
      </c>
      <c r="D31" s="9">
        <f t="shared" si="3"/>
        <v>-0.3688268868</v>
      </c>
    </row>
    <row r="32" ht="14.25" customHeight="1">
      <c r="A32" s="9">
        <v>32.0</v>
      </c>
      <c r="B32" s="9">
        <f t="shared" si="1"/>
        <v>-2.751254489</v>
      </c>
      <c r="C32" s="9">
        <f t="shared" si="2"/>
        <v>-0.9247804407</v>
      </c>
      <c r="D32" s="9">
        <f t="shared" si="3"/>
        <v>-0.380501165</v>
      </c>
    </row>
    <row r="33" ht="14.25" customHeight="1">
      <c r="A33" s="9">
        <v>33.0</v>
      </c>
      <c r="B33" s="9">
        <f t="shared" si="1"/>
        <v>-2.738662935</v>
      </c>
      <c r="C33" s="9">
        <f t="shared" si="2"/>
        <v>-0.9199161567</v>
      </c>
      <c r="D33" s="9">
        <f t="shared" si="3"/>
        <v>-0.3921151165</v>
      </c>
    </row>
    <row r="34" ht="14.25" customHeight="1">
      <c r="A34" s="9">
        <v>34.0</v>
      </c>
      <c r="B34" s="9">
        <f t="shared" si="1"/>
        <v>-2.726071382</v>
      </c>
      <c r="C34" s="9">
        <f t="shared" si="2"/>
        <v>-0.9149060245</v>
      </c>
      <c r="D34" s="9">
        <f t="shared" si="3"/>
        <v>-0.4036669002</v>
      </c>
    </row>
    <row r="35" ht="14.25" customHeight="1">
      <c r="A35" s="9">
        <v>35.0</v>
      </c>
      <c r="B35" s="9">
        <f t="shared" si="1"/>
        <v>-2.713479828</v>
      </c>
      <c r="C35" s="9">
        <f t="shared" si="2"/>
        <v>-0.9097508384</v>
      </c>
      <c r="D35" s="9">
        <f t="shared" si="3"/>
        <v>-0.4151546844</v>
      </c>
    </row>
    <row r="36" ht="14.25" customHeight="1">
      <c r="A36" s="9">
        <v>36.0</v>
      </c>
      <c r="B36" s="9">
        <f t="shared" si="1"/>
        <v>-2.700888274</v>
      </c>
      <c r="C36" s="9">
        <f t="shared" si="2"/>
        <v>-0.9044514158</v>
      </c>
      <c r="D36" s="9">
        <f t="shared" si="3"/>
        <v>-0.4265766479</v>
      </c>
    </row>
    <row r="37" ht="14.25" customHeight="1">
      <c r="A37" s="9">
        <v>37.0</v>
      </c>
      <c r="B37" s="9">
        <f t="shared" si="1"/>
        <v>-2.68829672</v>
      </c>
      <c r="C37" s="9">
        <f t="shared" si="2"/>
        <v>-0.8990085968</v>
      </c>
      <c r="D37" s="9">
        <f t="shared" si="3"/>
        <v>-0.4379309797</v>
      </c>
    </row>
    <row r="38" ht="14.25" customHeight="1">
      <c r="A38" s="9">
        <v>38.0</v>
      </c>
      <c r="B38" s="9">
        <f t="shared" si="1"/>
        <v>-2.675705167</v>
      </c>
      <c r="C38" s="9">
        <f t="shared" si="2"/>
        <v>-0.8934232443</v>
      </c>
      <c r="D38" s="9">
        <f t="shared" si="3"/>
        <v>-0.4492158797</v>
      </c>
    </row>
    <row r="39" ht="14.25" customHeight="1">
      <c r="A39" s="9">
        <v>39.0</v>
      </c>
      <c r="B39" s="9">
        <f t="shared" si="1"/>
        <v>-2.663113613</v>
      </c>
      <c r="C39" s="9">
        <f t="shared" si="2"/>
        <v>-0.8876962439</v>
      </c>
      <c r="D39" s="9">
        <f t="shared" si="3"/>
        <v>-0.4604295587</v>
      </c>
    </row>
    <row r="40" ht="14.25" customHeight="1">
      <c r="A40" s="9">
        <v>40.0</v>
      </c>
      <c r="B40" s="9">
        <f t="shared" si="1"/>
        <v>-2.650522059</v>
      </c>
      <c r="C40" s="9">
        <f t="shared" si="2"/>
        <v>-0.8818285037</v>
      </c>
      <c r="D40" s="9">
        <f t="shared" si="3"/>
        <v>-0.4715702388</v>
      </c>
    </row>
    <row r="41" ht="14.25" customHeight="1">
      <c r="A41" s="9">
        <v>41.0</v>
      </c>
      <c r="B41" s="9">
        <f t="shared" si="1"/>
        <v>-2.637930506</v>
      </c>
      <c r="C41" s="9">
        <f t="shared" si="2"/>
        <v>-0.8758209538</v>
      </c>
      <c r="D41" s="9">
        <f t="shared" si="3"/>
        <v>-0.4826361538</v>
      </c>
    </row>
    <row r="42" ht="14.25" customHeight="1">
      <c r="A42" s="9">
        <v>42.0</v>
      </c>
      <c r="B42" s="9">
        <f t="shared" si="1"/>
        <v>-2.625338952</v>
      </c>
      <c r="C42" s="9">
        <f t="shared" si="2"/>
        <v>-0.8696745467</v>
      </c>
      <c r="D42" s="9">
        <f t="shared" si="3"/>
        <v>-0.4936255491</v>
      </c>
    </row>
    <row r="43" ht="14.25" customHeight="1">
      <c r="A43" s="9">
        <v>43.0</v>
      </c>
      <c r="B43" s="9">
        <f t="shared" si="1"/>
        <v>-2.612747398</v>
      </c>
      <c r="C43" s="9">
        <f t="shared" si="2"/>
        <v>-0.863390257</v>
      </c>
      <c r="D43" s="9">
        <f t="shared" si="3"/>
        <v>-0.5045366826</v>
      </c>
    </row>
    <row r="44" ht="14.25" customHeight="1">
      <c r="A44" s="9">
        <v>44.0</v>
      </c>
      <c r="B44" s="9">
        <f t="shared" si="1"/>
        <v>-2.600155845</v>
      </c>
      <c r="C44" s="9">
        <f t="shared" si="2"/>
        <v>-0.856969081</v>
      </c>
      <c r="D44" s="9">
        <f t="shared" si="3"/>
        <v>-0.5153678242</v>
      </c>
    </row>
    <row r="45" ht="14.25" customHeight="1">
      <c r="A45" s="9">
        <v>45.0</v>
      </c>
      <c r="B45" s="9">
        <f t="shared" si="1"/>
        <v>-2.587564291</v>
      </c>
      <c r="C45" s="9">
        <f t="shared" si="2"/>
        <v>-0.8504120367</v>
      </c>
      <c r="D45" s="9">
        <f t="shared" si="3"/>
        <v>-0.5261172567</v>
      </c>
    </row>
    <row r="46" ht="14.25" customHeight="1">
      <c r="A46" s="9">
        <v>46.0</v>
      </c>
      <c r="B46" s="9">
        <f t="shared" si="1"/>
        <v>-2.574972737</v>
      </c>
      <c r="C46" s="9">
        <f t="shared" si="2"/>
        <v>-0.8437201637</v>
      </c>
      <c r="D46" s="9">
        <f t="shared" si="3"/>
        <v>-0.5367832759</v>
      </c>
    </row>
    <row r="47" ht="14.25" customHeight="1">
      <c r="A47" s="9">
        <v>47.0</v>
      </c>
      <c r="B47" s="9">
        <f t="shared" si="1"/>
        <v>-2.562381183</v>
      </c>
      <c r="C47" s="9">
        <f t="shared" si="2"/>
        <v>-0.836894523</v>
      </c>
      <c r="D47" s="9">
        <f t="shared" si="3"/>
        <v>-0.5473641908</v>
      </c>
    </row>
    <row r="48" ht="14.25" customHeight="1">
      <c r="A48" s="9">
        <v>48.0</v>
      </c>
      <c r="B48" s="9">
        <f t="shared" si="1"/>
        <v>-2.54978963</v>
      </c>
      <c r="C48" s="9">
        <f t="shared" si="2"/>
        <v>-0.8299361968</v>
      </c>
      <c r="D48" s="9">
        <f t="shared" si="3"/>
        <v>-0.5578583237</v>
      </c>
    </row>
    <row r="49" ht="14.25" customHeight="1">
      <c r="A49" s="9">
        <v>49.0</v>
      </c>
      <c r="B49" s="9">
        <f t="shared" si="1"/>
        <v>-2.537198076</v>
      </c>
      <c r="C49" s="9">
        <f t="shared" si="2"/>
        <v>-0.8228462882</v>
      </c>
      <c r="D49" s="9">
        <f t="shared" si="3"/>
        <v>-0.5682640109</v>
      </c>
    </row>
    <row r="50" ht="14.25" customHeight="1">
      <c r="A50" s="9">
        <v>50.0</v>
      </c>
      <c r="B50" s="9">
        <f t="shared" si="1"/>
        <v>-2.524606522</v>
      </c>
      <c r="C50" s="9">
        <f t="shared" si="2"/>
        <v>-0.8156259213</v>
      </c>
      <c r="D50" s="9">
        <f t="shared" si="3"/>
        <v>-0.5785796025</v>
      </c>
    </row>
    <row r="51" ht="14.25" customHeight="1">
      <c r="A51" s="9">
        <v>51.0</v>
      </c>
      <c r="B51" s="9">
        <f t="shared" si="1"/>
        <v>-2.512014969</v>
      </c>
      <c r="C51" s="9">
        <f t="shared" si="2"/>
        <v>-0.8082762409</v>
      </c>
      <c r="D51" s="9">
        <f t="shared" si="3"/>
        <v>-0.5888034633</v>
      </c>
    </row>
    <row r="52" ht="14.25" customHeight="1">
      <c r="A52" s="9">
        <v>52.0</v>
      </c>
      <c r="B52" s="9">
        <f t="shared" si="1"/>
        <v>-2.499423415</v>
      </c>
      <c r="C52" s="9">
        <f t="shared" si="2"/>
        <v>-0.8007984123</v>
      </c>
      <c r="D52" s="9">
        <f t="shared" si="3"/>
        <v>-0.5989339721</v>
      </c>
    </row>
    <row r="53" ht="14.25" customHeight="1">
      <c r="A53" s="9">
        <v>53.0</v>
      </c>
      <c r="B53" s="9">
        <f t="shared" si="1"/>
        <v>-2.486831861</v>
      </c>
      <c r="C53" s="9">
        <f t="shared" si="2"/>
        <v>-0.7931936209</v>
      </c>
      <c r="D53" s="9">
        <f t="shared" si="3"/>
        <v>-0.6089695228</v>
      </c>
    </row>
    <row r="54" ht="14.25" customHeight="1">
      <c r="A54" s="9">
        <v>54.0</v>
      </c>
      <c r="B54" s="9">
        <f t="shared" si="1"/>
        <v>-2.474240308</v>
      </c>
      <c r="C54" s="9">
        <f t="shared" si="2"/>
        <v>-0.7854630726</v>
      </c>
      <c r="D54" s="9">
        <f t="shared" si="3"/>
        <v>-0.6189085244</v>
      </c>
    </row>
    <row r="55" ht="14.25" customHeight="1">
      <c r="A55" s="9">
        <v>55.0</v>
      </c>
      <c r="B55" s="9">
        <f t="shared" si="1"/>
        <v>-2.461648754</v>
      </c>
      <c r="C55" s="9">
        <f t="shared" si="2"/>
        <v>-0.7776079929</v>
      </c>
      <c r="D55" s="9">
        <f t="shared" si="3"/>
        <v>-0.628749401</v>
      </c>
    </row>
    <row r="56" ht="14.25" customHeight="1">
      <c r="A56" s="9">
        <v>56.0</v>
      </c>
      <c r="B56" s="9">
        <f t="shared" si="1"/>
        <v>-2.4490572</v>
      </c>
      <c r="C56" s="9">
        <f t="shared" si="2"/>
        <v>-0.7696296273</v>
      </c>
      <c r="D56" s="9">
        <f t="shared" si="3"/>
        <v>-0.6384905925</v>
      </c>
    </row>
    <row r="57" ht="14.25" customHeight="1">
      <c r="A57" s="9">
        <v>57.0</v>
      </c>
      <c r="B57" s="9">
        <f t="shared" si="1"/>
        <v>-2.436465646</v>
      </c>
      <c r="C57" s="9">
        <f t="shared" si="2"/>
        <v>-0.7615292407</v>
      </c>
      <c r="D57" s="9">
        <f t="shared" si="3"/>
        <v>-0.6481305545</v>
      </c>
    </row>
    <row r="58" ht="14.25" customHeight="1">
      <c r="A58" s="9">
        <v>58.0</v>
      </c>
      <c r="B58" s="9">
        <f t="shared" si="1"/>
        <v>-2.423874093</v>
      </c>
      <c r="C58" s="9">
        <f t="shared" si="2"/>
        <v>-0.7533081173</v>
      </c>
      <c r="D58" s="9">
        <f t="shared" si="3"/>
        <v>-0.6576677584</v>
      </c>
    </row>
    <row r="59" ht="14.25" customHeight="1">
      <c r="A59" s="9">
        <v>59.0</v>
      </c>
      <c r="B59" s="9">
        <f t="shared" si="1"/>
        <v>-2.411282539</v>
      </c>
      <c r="C59" s="9">
        <f t="shared" si="2"/>
        <v>-0.7449675605</v>
      </c>
      <c r="D59" s="9">
        <f t="shared" si="3"/>
        <v>-0.6671006924</v>
      </c>
    </row>
    <row r="60" ht="14.25" customHeight="1">
      <c r="A60" s="9">
        <v>60.0</v>
      </c>
      <c r="B60" s="9">
        <f t="shared" si="1"/>
        <v>-2.398690985</v>
      </c>
      <c r="C60" s="9">
        <f t="shared" si="2"/>
        <v>-0.7365088928</v>
      </c>
      <c r="D60" s="9">
        <f t="shared" si="3"/>
        <v>-0.6764278608</v>
      </c>
    </row>
    <row r="61" ht="14.25" customHeight="1">
      <c r="A61" s="9">
        <v>61.0</v>
      </c>
      <c r="B61" s="9">
        <f t="shared" si="1"/>
        <v>-2.386099432</v>
      </c>
      <c r="C61" s="9">
        <f t="shared" si="2"/>
        <v>-0.7279334552</v>
      </c>
      <c r="D61" s="9">
        <f t="shared" si="3"/>
        <v>-0.6856477848</v>
      </c>
    </row>
    <row r="62" ht="14.25" customHeight="1">
      <c r="A62" s="9">
        <v>62.0</v>
      </c>
      <c r="B62" s="9">
        <f t="shared" si="1"/>
        <v>-2.373507878</v>
      </c>
      <c r="C62" s="9">
        <f t="shared" si="2"/>
        <v>-0.7192426073</v>
      </c>
      <c r="D62" s="9">
        <f t="shared" si="3"/>
        <v>-0.6947590028</v>
      </c>
    </row>
    <row r="63" ht="14.25" customHeight="1">
      <c r="A63" s="9">
        <v>63.0</v>
      </c>
      <c r="B63" s="9">
        <f t="shared" si="1"/>
        <v>-2.360916324</v>
      </c>
      <c r="C63" s="9">
        <f t="shared" si="2"/>
        <v>-0.7104377269</v>
      </c>
      <c r="D63" s="9">
        <f t="shared" si="3"/>
        <v>-0.70376007</v>
      </c>
    </row>
    <row r="64" ht="14.25" customHeight="1">
      <c r="A64" s="9">
        <v>64.0</v>
      </c>
      <c r="B64" s="9">
        <f t="shared" si="1"/>
        <v>-2.348324771</v>
      </c>
      <c r="C64" s="9">
        <f t="shared" si="2"/>
        <v>-0.7015202101</v>
      </c>
      <c r="D64" s="9">
        <f t="shared" si="3"/>
        <v>-0.7126495596</v>
      </c>
    </row>
    <row r="65" ht="14.25" customHeight="1">
      <c r="A65" s="9">
        <v>65.0</v>
      </c>
      <c r="B65" s="9">
        <f t="shared" si="1"/>
        <v>-2.335733217</v>
      </c>
      <c r="C65" s="9">
        <f t="shared" si="2"/>
        <v>-0.6924914707</v>
      </c>
      <c r="D65" s="9">
        <f t="shared" si="3"/>
        <v>-0.721426062</v>
      </c>
    </row>
    <row r="66" ht="14.25" customHeight="1">
      <c r="A66" s="9">
        <v>66.0</v>
      </c>
      <c r="B66" s="9">
        <f t="shared" si="1"/>
        <v>-2.323141663</v>
      </c>
      <c r="C66" s="9">
        <f t="shared" si="2"/>
        <v>-0.6833529402</v>
      </c>
      <c r="D66" s="9">
        <f t="shared" si="3"/>
        <v>-0.7300881858</v>
      </c>
    </row>
    <row r="67" ht="14.25" customHeight="1">
      <c r="A67" s="9">
        <v>67.0</v>
      </c>
      <c r="B67" s="9">
        <f t="shared" si="1"/>
        <v>-2.310550109</v>
      </c>
      <c r="C67" s="9">
        <f t="shared" si="2"/>
        <v>-0.6741060674</v>
      </c>
      <c r="D67" s="9">
        <f t="shared" si="3"/>
        <v>-0.7386345578</v>
      </c>
    </row>
    <row r="68" ht="14.25" customHeight="1">
      <c r="A68" s="9">
        <v>68.0</v>
      </c>
      <c r="B68" s="9">
        <f t="shared" si="1"/>
        <v>-2.297958556</v>
      </c>
      <c r="C68" s="9">
        <f t="shared" si="2"/>
        <v>-0.6647523183</v>
      </c>
      <c r="D68" s="9">
        <f t="shared" si="3"/>
        <v>-0.7470638228</v>
      </c>
    </row>
    <row r="69" ht="14.25" customHeight="1">
      <c r="A69" s="9">
        <v>69.0</v>
      </c>
      <c r="B69" s="9">
        <f t="shared" si="1"/>
        <v>-2.285367002</v>
      </c>
      <c r="C69" s="9">
        <f t="shared" si="2"/>
        <v>-0.655293176</v>
      </c>
      <c r="D69" s="9">
        <f t="shared" si="3"/>
        <v>-0.7553746444</v>
      </c>
    </row>
    <row r="70" ht="14.25" customHeight="1">
      <c r="A70" s="9">
        <v>70.0</v>
      </c>
      <c r="B70" s="9">
        <f t="shared" si="1"/>
        <v>-2.272775448</v>
      </c>
      <c r="C70" s="9">
        <f t="shared" si="2"/>
        <v>-0.6457301402</v>
      </c>
      <c r="D70" s="9">
        <f t="shared" si="3"/>
        <v>-0.7635657051</v>
      </c>
    </row>
    <row r="71" ht="14.25" customHeight="1">
      <c r="A71" s="9">
        <v>71.0</v>
      </c>
      <c r="B71" s="9">
        <f t="shared" si="1"/>
        <v>-2.260183895</v>
      </c>
      <c r="C71" s="9">
        <f t="shared" si="2"/>
        <v>-0.636064727</v>
      </c>
      <c r="D71" s="9">
        <f t="shared" si="3"/>
        <v>-0.7716357062</v>
      </c>
    </row>
    <row r="72" ht="14.25" customHeight="1">
      <c r="A72" s="9">
        <v>72.0</v>
      </c>
      <c r="B72" s="9">
        <f t="shared" si="1"/>
        <v>-2.247592341</v>
      </c>
      <c r="C72" s="9">
        <f t="shared" si="2"/>
        <v>-0.6262984688</v>
      </c>
      <c r="D72" s="9">
        <f t="shared" si="3"/>
        <v>-0.7795833682</v>
      </c>
    </row>
    <row r="73" ht="14.25" customHeight="1">
      <c r="A73" s="9">
        <v>73.0</v>
      </c>
      <c r="B73" s="9">
        <f t="shared" si="1"/>
        <v>-2.235000787</v>
      </c>
      <c r="C73" s="9">
        <f t="shared" si="2"/>
        <v>-0.6164329141</v>
      </c>
      <c r="D73" s="9">
        <f t="shared" si="3"/>
        <v>-0.787407431</v>
      </c>
    </row>
    <row r="74" ht="14.25" customHeight="1">
      <c r="A74" s="9">
        <v>74.0</v>
      </c>
      <c r="B74" s="9">
        <f t="shared" si="1"/>
        <v>-2.222409234</v>
      </c>
      <c r="C74" s="9">
        <f t="shared" si="2"/>
        <v>-0.6064696269</v>
      </c>
      <c r="D74" s="9">
        <f t="shared" si="3"/>
        <v>-0.7951066543</v>
      </c>
    </row>
    <row r="75" ht="14.25" customHeight="1">
      <c r="A75" s="9">
        <v>75.0</v>
      </c>
      <c r="B75" s="9">
        <f t="shared" si="1"/>
        <v>-2.20981768</v>
      </c>
      <c r="C75" s="9">
        <f t="shared" si="2"/>
        <v>-0.5964101869</v>
      </c>
      <c r="D75" s="9">
        <f t="shared" si="3"/>
        <v>-0.8026798172</v>
      </c>
    </row>
    <row r="76" ht="14.25" customHeight="1">
      <c r="A76" s="9">
        <v>76.0</v>
      </c>
      <c r="B76" s="9">
        <f t="shared" si="1"/>
        <v>-2.197226126</v>
      </c>
      <c r="C76" s="9">
        <f t="shared" si="2"/>
        <v>-0.586256189</v>
      </c>
      <c r="D76" s="9">
        <f t="shared" si="3"/>
        <v>-0.8101257192</v>
      </c>
    </row>
    <row r="77" ht="14.25" customHeight="1">
      <c r="A77" s="9">
        <v>77.0</v>
      </c>
      <c r="B77" s="9">
        <f t="shared" si="1"/>
        <v>-2.184634572</v>
      </c>
      <c r="C77" s="9">
        <f t="shared" si="2"/>
        <v>-0.576009243</v>
      </c>
      <c r="D77" s="9">
        <f t="shared" si="3"/>
        <v>-0.8174431797</v>
      </c>
    </row>
    <row r="78" ht="14.25" customHeight="1">
      <c r="A78" s="9">
        <v>78.0</v>
      </c>
      <c r="B78" s="9">
        <f t="shared" si="1"/>
        <v>-2.172043019</v>
      </c>
      <c r="C78" s="9">
        <f t="shared" si="2"/>
        <v>-0.5656709736</v>
      </c>
      <c r="D78" s="9">
        <f t="shared" si="3"/>
        <v>-0.8246310385</v>
      </c>
    </row>
    <row r="79" ht="14.25" customHeight="1">
      <c r="A79" s="9">
        <v>79.0</v>
      </c>
      <c r="B79" s="9">
        <f t="shared" si="1"/>
        <v>-2.159451465</v>
      </c>
      <c r="C79" s="9">
        <f t="shared" si="2"/>
        <v>-0.5552430197</v>
      </c>
      <c r="D79" s="9">
        <f t="shared" si="3"/>
        <v>-0.8316881561</v>
      </c>
    </row>
    <row r="80" ht="14.25" customHeight="1">
      <c r="A80" s="9">
        <v>80.0</v>
      </c>
      <c r="B80" s="9">
        <f t="shared" si="1"/>
        <v>-2.146859911</v>
      </c>
      <c r="C80" s="9">
        <f t="shared" si="2"/>
        <v>-0.5447270348</v>
      </c>
      <c r="D80" s="9">
        <f t="shared" si="3"/>
        <v>-0.8386134136</v>
      </c>
    </row>
    <row r="81" ht="14.25" customHeight="1">
      <c r="A81" s="9">
        <v>81.0</v>
      </c>
      <c r="B81" s="9">
        <f t="shared" si="1"/>
        <v>-2.134268358</v>
      </c>
      <c r="C81" s="9">
        <f t="shared" si="2"/>
        <v>-0.5341246861</v>
      </c>
      <c r="D81" s="9">
        <f t="shared" si="3"/>
        <v>-0.8454057131</v>
      </c>
    </row>
    <row r="82" ht="14.25" customHeight="1">
      <c r="A82" s="9">
        <v>82.0</v>
      </c>
      <c r="B82" s="9">
        <f t="shared" si="1"/>
        <v>-2.121676804</v>
      </c>
      <c r="C82" s="9">
        <f t="shared" si="2"/>
        <v>-0.5234376546</v>
      </c>
      <c r="D82" s="9">
        <f t="shared" si="3"/>
        <v>-0.8520639775</v>
      </c>
    </row>
    <row r="83" ht="14.25" customHeight="1">
      <c r="A83" s="9">
        <v>83.0</v>
      </c>
      <c r="B83" s="9">
        <f t="shared" si="1"/>
        <v>-2.10908525</v>
      </c>
      <c r="C83" s="9">
        <f t="shared" si="2"/>
        <v>-0.5126676345</v>
      </c>
      <c r="D83" s="9">
        <f t="shared" si="3"/>
        <v>-0.8585871514</v>
      </c>
    </row>
    <row r="84" ht="14.25" customHeight="1">
      <c r="A84" s="9">
        <v>84.0</v>
      </c>
      <c r="B84" s="9">
        <f t="shared" si="1"/>
        <v>-2.096493697</v>
      </c>
      <c r="C84" s="9">
        <f t="shared" si="2"/>
        <v>-0.5018163335</v>
      </c>
      <c r="D84" s="9">
        <f t="shared" si="3"/>
        <v>-0.8649742005</v>
      </c>
    </row>
    <row r="85" ht="14.25" customHeight="1">
      <c r="A85" s="9">
        <v>85.0</v>
      </c>
      <c r="B85" s="9">
        <f t="shared" si="1"/>
        <v>-2.083902143</v>
      </c>
      <c r="C85" s="9">
        <f t="shared" si="2"/>
        <v>-0.4908854719</v>
      </c>
      <c r="D85" s="9">
        <f t="shared" si="3"/>
        <v>-0.8712241121</v>
      </c>
    </row>
    <row r="86" ht="14.25" customHeight="1">
      <c r="A86" s="9">
        <v>86.0</v>
      </c>
      <c r="B86" s="9">
        <f t="shared" si="1"/>
        <v>-2.071310589</v>
      </c>
      <c r="C86" s="9">
        <f t="shared" si="2"/>
        <v>-0.4798767828</v>
      </c>
      <c r="D86" s="9">
        <f t="shared" si="3"/>
        <v>-0.8773358954</v>
      </c>
    </row>
    <row r="87" ht="14.25" customHeight="1">
      <c r="A87" s="9">
        <v>87.0</v>
      </c>
      <c r="B87" s="9">
        <f t="shared" si="1"/>
        <v>-2.058719035</v>
      </c>
      <c r="C87" s="9">
        <f t="shared" si="2"/>
        <v>-0.4687920116</v>
      </c>
      <c r="D87" s="9">
        <f t="shared" si="3"/>
        <v>-0.8833085813</v>
      </c>
    </row>
    <row r="88" ht="14.25" customHeight="1">
      <c r="A88" s="9">
        <v>88.0</v>
      </c>
      <c r="B88" s="9">
        <f t="shared" si="1"/>
        <v>-2.046127482</v>
      </c>
      <c r="C88" s="9">
        <f t="shared" si="2"/>
        <v>-0.4576329157</v>
      </c>
      <c r="D88" s="9">
        <f t="shared" si="3"/>
        <v>-0.889141223</v>
      </c>
    </row>
    <row r="89" ht="14.25" customHeight="1">
      <c r="A89" s="9">
        <v>89.0</v>
      </c>
      <c r="B89" s="9">
        <f t="shared" si="1"/>
        <v>-2.033535928</v>
      </c>
      <c r="C89" s="9">
        <f t="shared" si="2"/>
        <v>-0.4464012644</v>
      </c>
      <c r="D89" s="9">
        <f t="shared" si="3"/>
        <v>-0.8948328957</v>
      </c>
    </row>
    <row r="90" ht="14.25" customHeight="1">
      <c r="A90" s="9">
        <v>90.0</v>
      </c>
      <c r="B90" s="9">
        <f t="shared" si="1"/>
        <v>-2.020944374</v>
      </c>
      <c r="C90" s="9">
        <f t="shared" si="2"/>
        <v>-0.4350988383</v>
      </c>
      <c r="D90" s="9">
        <f t="shared" si="3"/>
        <v>-0.9003826969</v>
      </c>
    </row>
    <row r="91" ht="14.25" customHeight="1">
      <c r="A91" s="9">
        <v>91.0</v>
      </c>
      <c r="B91" s="9">
        <f t="shared" si="1"/>
        <v>-2.008352821</v>
      </c>
      <c r="C91" s="9">
        <f t="shared" si="2"/>
        <v>-0.4237274294</v>
      </c>
      <c r="D91" s="9">
        <f t="shared" si="3"/>
        <v>-0.9057897469</v>
      </c>
    </row>
    <row r="92" ht="14.25" customHeight="1">
      <c r="A92" s="9">
        <v>92.0</v>
      </c>
      <c r="B92" s="9">
        <f t="shared" si="1"/>
        <v>-1.995761267</v>
      </c>
      <c r="C92" s="9">
        <f t="shared" si="2"/>
        <v>-0.4122888406</v>
      </c>
      <c r="D92" s="9">
        <f t="shared" si="3"/>
        <v>-0.9110531883</v>
      </c>
    </row>
    <row r="93" ht="14.25" customHeight="1">
      <c r="A93" s="9">
        <v>93.0</v>
      </c>
      <c r="B93" s="9">
        <f t="shared" si="1"/>
        <v>-1.983169713</v>
      </c>
      <c r="C93" s="9">
        <f t="shared" si="2"/>
        <v>-0.4007848854</v>
      </c>
      <c r="D93" s="9">
        <f t="shared" si="3"/>
        <v>-0.9161721867</v>
      </c>
    </row>
    <row r="94" ht="14.25" customHeight="1">
      <c r="A94" s="9">
        <v>94.0</v>
      </c>
      <c r="B94" s="9">
        <f t="shared" si="1"/>
        <v>-1.97057816</v>
      </c>
      <c r="C94" s="9">
        <f t="shared" si="2"/>
        <v>-0.3892173877</v>
      </c>
      <c r="D94" s="9">
        <f t="shared" si="3"/>
        <v>-0.9211459304</v>
      </c>
    </row>
    <row r="95" ht="14.25" customHeight="1">
      <c r="A95" s="9">
        <v>95.0</v>
      </c>
      <c r="B95" s="9">
        <f t="shared" si="1"/>
        <v>-1.957986606</v>
      </c>
      <c r="C95" s="9">
        <f t="shared" si="2"/>
        <v>-0.3775881814</v>
      </c>
      <c r="D95" s="9">
        <f t="shared" si="3"/>
        <v>-0.925973631</v>
      </c>
    </row>
    <row r="96" ht="14.25" customHeight="1">
      <c r="A96" s="9">
        <v>96.0</v>
      </c>
      <c r="B96" s="9">
        <f t="shared" si="1"/>
        <v>-1.945395052</v>
      </c>
      <c r="C96" s="9">
        <f t="shared" si="2"/>
        <v>-0.3658991104</v>
      </c>
      <c r="D96" s="9">
        <f t="shared" si="3"/>
        <v>-0.9306545229</v>
      </c>
    </row>
    <row r="97" ht="14.25" customHeight="1">
      <c r="A97" s="9">
        <v>97.0</v>
      </c>
      <c r="B97" s="9">
        <f t="shared" si="1"/>
        <v>-1.932803498</v>
      </c>
      <c r="C97" s="9">
        <f t="shared" si="2"/>
        <v>-0.3541520279</v>
      </c>
      <c r="D97" s="9">
        <f t="shared" si="3"/>
        <v>-0.9351878641</v>
      </c>
    </row>
    <row r="98" ht="14.25" customHeight="1">
      <c r="A98" s="9">
        <v>98.0</v>
      </c>
      <c r="B98" s="9">
        <f t="shared" si="1"/>
        <v>-1.920211945</v>
      </c>
      <c r="C98" s="9">
        <f t="shared" si="2"/>
        <v>-0.3423487963</v>
      </c>
      <c r="D98" s="9">
        <f t="shared" si="3"/>
        <v>-0.9395729358</v>
      </c>
    </row>
    <row r="99" ht="14.25" customHeight="1">
      <c r="A99" s="9">
        <v>99.0</v>
      </c>
      <c r="B99" s="9">
        <f t="shared" si="1"/>
        <v>-1.907620391</v>
      </c>
      <c r="C99" s="9">
        <f t="shared" si="2"/>
        <v>-0.330491287</v>
      </c>
      <c r="D99" s="9">
        <f t="shared" si="3"/>
        <v>-0.9438090428</v>
      </c>
    </row>
    <row r="100" ht="14.25" customHeight="1">
      <c r="A100" s="9">
        <v>100.0</v>
      </c>
      <c r="B100" s="9">
        <f t="shared" si="1"/>
        <v>-1.895028837</v>
      </c>
      <c r="C100" s="9">
        <f t="shared" si="2"/>
        <v>-0.3185813799</v>
      </c>
      <c r="D100" s="9">
        <f t="shared" si="3"/>
        <v>-0.9478955134</v>
      </c>
    </row>
    <row r="101" ht="14.25" customHeight="1">
      <c r="A101" s="9">
        <v>101.0</v>
      </c>
      <c r="B101" s="9">
        <f t="shared" si="1"/>
        <v>-1.882437284</v>
      </c>
      <c r="C101" s="9">
        <f t="shared" si="2"/>
        <v>-0.3066209633</v>
      </c>
      <c r="D101" s="9">
        <f t="shared" si="3"/>
        <v>-0.9518316999</v>
      </c>
    </row>
    <row r="102" ht="14.25" customHeight="1">
      <c r="A102" s="9">
        <v>102.0</v>
      </c>
      <c r="B102" s="9">
        <f t="shared" si="1"/>
        <v>-1.86984573</v>
      </c>
      <c r="C102" s="9">
        <f t="shared" si="2"/>
        <v>-0.2946119334</v>
      </c>
      <c r="D102" s="9">
        <f t="shared" si="3"/>
        <v>-0.955616978</v>
      </c>
    </row>
    <row r="103" ht="14.25" customHeight="1">
      <c r="A103" s="9">
        <v>103.0</v>
      </c>
      <c r="B103" s="9">
        <f t="shared" si="1"/>
        <v>-1.857254176</v>
      </c>
      <c r="C103" s="9">
        <f t="shared" si="2"/>
        <v>-0.2825561942</v>
      </c>
      <c r="D103" s="9">
        <f t="shared" si="3"/>
        <v>-0.9592507478</v>
      </c>
    </row>
    <row r="104" ht="14.25" customHeight="1">
      <c r="A104" s="9">
        <v>104.0</v>
      </c>
      <c r="B104" s="9">
        <f t="shared" si="1"/>
        <v>-1.844662623</v>
      </c>
      <c r="C104" s="9">
        <f t="shared" si="2"/>
        <v>-0.2704556571</v>
      </c>
      <c r="D104" s="9">
        <f t="shared" si="3"/>
        <v>-0.962732433</v>
      </c>
    </row>
    <row r="105" ht="14.25" customHeight="1">
      <c r="A105" s="9">
        <v>105.0</v>
      </c>
      <c r="B105" s="9">
        <f t="shared" si="1"/>
        <v>-1.832071069</v>
      </c>
      <c r="C105" s="9">
        <f t="shared" si="2"/>
        <v>-0.2583122406</v>
      </c>
      <c r="D105" s="9">
        <f t="shared" si="3"/>
        <v>-0.9660614817</v>
      </c>
    </row>
    <row r="106" ht="14.25" customHeight="1">
      <c r="A106" s="9">
        <v>106.0</v>
      </c>
      <c r="B106" s="9">
        <f t="shared" si="1"/>
        <v>-1.819479515</v>
      </c>
      <c r="C106" s="9">
        <f t="shared" si="2"/>
        <v>-0.2461278699</v>
      </c>
      <c r="D106" s="9">
        <f t="shared" si="3"/>
        <v>-0.969237366</v>
      </c>
    </row>
    <row r="107" ht="14.25" customHeight="1">
      <c r="A107" s="9">
        <v>107.0</v>
      </c>
      <c r="B107" s="9">
        <f t="shared" si="1"/>
        <v>-1.806887961</v>
      </c>
      <c r="C107" s="9">
        <f t="shared" si="2"/>
        <v>-0.2339044769</v>
      </c>
      <c r="D107" s="9">
        <f t="shared" si="3"/>
        <v>-0.9722595825</v>
      </c>
    </row>
    <row r="108" ht="14.25" customHeight="1">
      <c r="A108" s="9">
        <v>108.0</v>
      </c>
      <c r="B108" s="9">
        <f t="shared" si="1"/>
        <v>-1.794296408</v>
      </c>
      <c r="C108" s="9">
        <f t="shared" si="2"/>
        <v>-0.2216439994</v>
      </c>
      <c r="D108" s="9">
        <f t="shared" si="3"/>
        <v>-0.9751276519</v>
      </c>
    </row>
    <row r="109" ht="14.25" customHeight="1">
      <c r="A109" s="9">
        <v>109.0</v>
      </c>
      <c r="B109" s="9">
        <f t="shared" si="1"/>
        <v>-1.781704854</v>
      </c>
      <c r="C109" s="9">
        <f t="shared" si="2"/>
        <v>-0.2093483814</v>
      </c>
      <c r="D109" s="9">
        <f t="shared" si="3"/>
        <v>-0.9778411196</v>
      </c>
    </row>
    <row r="110" ht="14.25" customHeight="1">
      <c r="A110" s="9">
        <v>110.0</v>
      </c>
      <c r="B110" s="9">
        <f t="shared" si="1"/>
        <v>-1.7691133</v>
      </c>
      <c r="C110" s="9">
        <f t="shared" si="2"/>
        <v>-0.1970195722</v>
      </c>
      <c r="D110" s="9">
        <f t="shared" si="3"/>
        <v>-0.9803995554</v>
      </c>
    </row>
    <row r="111" ht="14.25" customHeight="1">
      <c r="A111" s="9">
        <v>111.0</v>
      </c>
      <c r="B111" s="9">
        <f t="shared" si="1"/>
        <v>-1.756521747</v>
      </c>
      <c r="C111" s="9">
        <f t="shared" si="2"/>
        <v>-0.1846595265</v>
      </c>
      <c r="D111" s="9">
        <f t="shared" si="3"/>
        <v>-0.9828025536</v>
      </c>
    </row>
    <row r="112" ht="14.25" customHeight="1">
      <c r="A112" s="9">
        <v>112.0</v>
      </c>
      <c r="B112" s="9">
        <f t="shared" si="1"/>
        <v>-1.743930193</v>
      </c>
      <c r="C112" s="9">
        <f t="shared" si="2"/>
        <v>-0.1722702039</v>
      </c>
      <c r="D112" s="9">
        <f t="shared" si="3"/>
        <v>-0.9850497332</v>
      </c>
    </row>
    <row r="113" ht="14.25" customHeight="1">
      <c r="A113" s="9">
        <v>113.0</v>
      </c>
      <c r="B113" s="9">
        <f t="shared" si="1"/>
        <v>-1.731338639</v>
      </c>
      <c r="C113" s="9">
        <f t="shared" si="2"/>
        <v>-0.1598535688</v>
      </c>
      <c r="D113" s="9">
        <f t="shared" si="3"/>
        <v>-0.987140738</v>
      </c>
    </row>
    <row r="114" ht="14.25" customHeight="1">
      <c r="A114" s="9">
        <v>114.0</v>
      </c>
      <c r="B114" s="9">
        <f t="shared" si="1"/>
        <v>-1.718747086</v>
      </c>
      <c r="C114" s="9">
        <f t="shared" si="2"/>
        <v>-0.1474115896</v>
      </c>
      <c r="D114" s="9">
        <f t="shared" si="3"/>
        <v>-0.9890752364</v>
      </c>
    </row>
    <row r="115" ht="14.25" customHeight="1">
      <c r="A115" s="9">
        <v>115.0</v>
      </c>
      <c r="B115" s="9">
        <f t="shared" si="1"/>
        <v>-1.706155532</v>
      </c>
      <c r="C115" s="9">
        <f t="shared" si="2"/>
        <v>-0.134946239</v>
      </c>
      <c r="D115" s="9">
        <f t="shared" si="3"/>
        <v>-0.9908529218</v>
      </c>
    </row>
    <row r="116" ht="14.25" customHeight="1">
      <c r="A116" s="9">
        <v>116.0</v>
      </c>
      <c r="B116" s="9">
        <f t="shared" si="1"/>
        <v>-1.693563978</v>
      </c>
      <c r="C116" s="9">
        <f t="shared" si="2"/>
        <v>-0.1224594934</v>
      </c>
      <c r="D116" s="9">
        <f t="shared" si="3"/>
        <v>-0.9924735122</v>
      </c>
    </row>
    <row r="117" ht="14.25" customHeight="1">
      <c r="A117" s="9">
        <v>117.0</v>
      </c>
      <c r="B117" s="9">
        <f t="shared" si="1"/>
        <v>-1.680972424</v>
      </c>
      <c r="C117" s="9">
        <f t="shared" si="2"/>
        <v>-0.1099533324</v>
      </c>
      <c r="D117" s="9">
        <f t="shared" si="3"/>
        <v>-0.9939367508</v>
      </c>
    </row>
    <row r="118" ht="14.25" customHeight="1">
      <c r="A118" s="9">
        <v>118.0</v>
      </c>
      <c r="B118" s="9">
        <f t="shared" si="1"/>
        <v>-1.668380871</v>
      </c>
      <c r="C118" s="9">
        <f t="shared" si="2"/>
        <v>-0.09742973887</v>
      </c>
      <c r="D118" s="9">
        <f t="shared" si="3"/>
        <v>-0.9952424056</v>
      </c>
    </row>
    <row r="119" ht="14.25" customHeight="1">
      <c r="A119" s="9">
        <v>119.0</v>
      </c>
      <c r="B119" s="9">
        <f t="shared" si="1"/>
        <v>-1.655789317</v>
      </c>
      <c r="C119" s="9">
        <f t="shared" si="2"/>
        <v>-0.08489069831</v>
      </c>
      <c r="D119" s="9">
        <f t="shared" si="3"/>
        <v>-0.9963902696</v>
      </c>
    </row>
    <row r="120" ht="14.25" customHeight="1">
      <c r="A120" s="9">
        <v>120.0</v>
      </c>
      <c r="B120" s="9">
        <f t="shared" si="1"/>
        <v>-1.643197763</v>
      </c>
      <c r="C120" s="9">
        <f t="shared" si="2"/>
        <v>-0.07233819875</v>
      </c>
      <c r="D120" s="9">
        <f t="shared" si="3"/>
        <v>-0.9973801607</v>
      </c>
    </row>
    <row r="121" ht="14.25" customHeight="1">
      <c r="A121" s="9">
        <v>121.0</v>
      </c>
      <c r="B121" s="9">
        <f t="shared" si="1"/>
        <v>-1.63060621</v>
      </c>
      <c r="C121" s="9">
        <f t="shared" si="2"/>
        <v>-0.05977423031</v>
      </c>
      <c r="D121" s="9">
        <f t="shared" si="3"/>
        <v>-0.9982119221</v>
      </c>
    </row>
    <row r="122" ht="14.25" customHeight="1">
      <c r="A122" s="9">
        <v>122.0</v>
      </c>
      <c r="B122" s="9">
        <f t="shared" si="1"/>
        <v>-1.618014656</v>
      </c>
      <c r="C122" s="9">
        <f t="shared" si="2"/>
        <v>-0.04720078496</v>
      </c>
      <c r="D122" s="9">
        <f t="shared" si="3"/>
        <v>-0.9988854218</v>
      </c>
    </row>
    <row r="123" ht="14.25" customHeight="1">
      <c r="A123" s="9">
        <v>123.0</v>
      </c>
      <c r="B123" s="9">
        <f t="shared" si="1"/>
        <v>-1.605423102</v>
      </c>
      <c r="C123" s="9">
        <f t="shared" si="2"/>
        <v>-0.03461985616</v>
      </c>
      <c r="D123" s="9">
        <f t="shared" si="3"/>
        <v>-0.9994005531</v>
      </c>
    </row>
    <row r="124" ht="14.25" customHeight="1">
      <c r="A124" s="9">
        <v>124.0</v>
      </c>
      <c r="B124" s="9">
        <f t="shared" si="1"/>
        <v>-1.592831549</v>
      </c>
      <c r="C124" s="9">
        <f t="shared" si="2"/>
        <v>-0.02203343854</v>
      </c>
      <c r="D124" s="9">
        <f t="shared" si="3"/>
        <v>-0.9997572343</v>
      </c>
    </row>
    <row r="125" ht="14.25" customHeight="1">
      <c r="A125" s="9">
        <v>125.0</v>
      </c>
      <c r="B125" s="9">
        <f t="shared" si="1"/>
        <v>-1.580239995</v>
      </c>
      <c r="C125" s="9">
        <f t="shared" si="2"/>
        <v>-0.009443527637</v>
      </c>
      <c r="D125" s="9">
        <f t="shared" si="3"/>
        <v>-0.9999554089</v>
      </c>
    </row>
    <row r="126" ht="14.25" customHeight="1">
      <c r="A126" s="9">
        <v>126.0</v>
      </c>
      <c r="B126" s="9">
        <f t="shared" si="1"/>
        <v>-1.567648441</v>
      </c>
      <c r="C126" s="9">
        <f t="shared" si="2"/>
        <v>0.003147880496</v>
      </c>
      <c r="D126" s="9">
        <f t="shared" si="3"/>
        <v>-0.9999950454</v>
      </c>
    </row>
    <row r="127" ht="14.25" customHeight="1">
      <c r="A127" s="9">
        <v>127.0</v>
      </c>
      <c r="B127" s="9">
        <f t="shared" si="1"/>
        <v>-1.555056887</v>
      </c>
      <c r="C127" s="9">
        <f t="shared" si="2"/>
        <v>0.01573878955</v>
      </c>
      <c r="D127" s="9">
        <f t="shared" si="3"/>
        <v>-0.9998761376</v>
      </c>
    </row>
    <row r="128" ht="14.25" customHeight="1">
      <c r="A128" s="9">
        <v>128.0</v>
      </c>
      <c r="B128" s="9">
        <f t="shared" si="1"/>
        <v>-1.542465334</v>
      </c>
      <c r="C128" s="9">
        <f t="shared" si="2"/>
        <v>0.02832720329</v>
      </c>
      <c r="D128" s="9">
        <f t="shared" si="3"/>
        <v>-0.9995987043</v>
      </c>
    </row>
    <row r="129" ht="14.25" customHeight="1">
      <c r="A129" s="9">
        <v>129.0</v>
      </c>
      <c r="B129" s="9">
        <f t="shared" si="1"/>
        <v>-1.52987378</v>
      </c>
      <c r="C129" s="9">
        <f t="shared" si="2"/>
        <v>0.04091112589</v>
      </c>
      <c r="D129" s="9">
        <f t="shared" si="3"/>
        <v>-0.9991627894</v>
      </c>
    </row>
    <row r="130" ht="14.25" customHeight="1">
      <c r="A130" s="9">
        <v>130.0</v>
      </c>
      <c r="B130" s="9">
        <f t="shared" si="1"/>
        <v>-1.517282226</v>
      </c>
      <c r="C130" s="9">
        <f t="shared" si="2"/>
        <v>0.05348856224</v>
      </c>
      <c r="D130" s="9">
        <f t="shared" si="3"/>
        <v>-0.9985684622</v>
      </c>
    </row>
    <row r="131" ht="14.25" customHeight="1">
      <c r="A131" s="9">
        <v>131.0</v>
      </c>
      <c r="B131" s="9">
        <f t="shared" si="1"/>
        <v>-1.504690673</v>
      </c>
      <c r="C131" s="9">
        <f t="shared" si="2"/>
        <v>0.06605751823</v>
      </c>
      <c r="D131" s="9">
        <f t="shared" si="3"/>
        <v>-0.9978158168</v>
      </c>
    </row>
    <row r="132" ht="14.25" customHeight="1">
      <c r="A132" s="9">
        <v>132.0</v>
      </c>
      <c r="B132" s="9">
        <f t="shared" si="1"/>
        <v>-1.492099119</v>
      </c>
      <c r="C132" s="9">
        <f t="shared" si="2"/>
        <v>0.07861600112</v>
      </c>
      <c r="D132" s="9">
        <f t="shared" si="3"/>
        <v>-0.9969049726</v>
      </c>
    </row>
    <row r="133" ht="14.25" customHeight="1">
      <c r="A133" s="9">
        <v>133.0</v>
      </c>
      <c r="B133" s="9">
        <f t="shared" si="1"/>
        <v>-1.479507565</v>
      </c>
      <c r="C133" s="9">
        <f t="shared" si="2"/>
        <v>0.09116201984</v>
      </c>
      <c r="D133" s="9">
        <f t="shared" si="3"/>
        <v>-0.9958360739</v>
      </c>
    </row>
    <row r="134" ht="14.25" customHeight="1">
      <c r="A134" s="9">
        <v>134.0</v>
      </c>
      <c r="B134" s="9">
        <f t="shared" si="1"/>
        <v>-1.466916012</v>
      </c>
      <c r="C134" s="9">
        <f t="shared" si="2"/>
        <v>0.1036935853</v>
      </c>
      <c r="D134" s="9">
        <f t="shared" si="3"/>
        <v>-0.9946092903</v>
      </c>
    </row>
    <row r="135" ht="14.25" customHeight="1">
      <c r="A135" s="9">
        <v>135.0</v>
      </c>
      <c r="B135" s="9">
        <f t="shared" si="1"/>
        <v>-1.454324458</v>
      </c>
      <c r="C135" s="9">
        <f t="shared" si="2"/>
        <v>0.1162087106</v>
      </c>
      <c r="D135" s="9">
        <f t="shared" si="3"/>
        <v>-0.9932248162</v>
      </c>
    </row>
    <row r="136" ht="14.25" customHeight="1">
      <c r="A136" s="9">
        <v>136.0</v>
      </c>
      <c r="B136" s="9">
        <f t="shared" si="1"/>
        <v>-1.441732904</v>
      </c>
      <c r="C136" s="9">
        <f t="shared" si="2"/>
        <v>0.1287054115</v>
      </c>
      <c r="D136" s="9">
        <f t="shared" si="3"/>
        <v>-0.9916828712</v>
      </c>
    </row>
    <row r="137" ht="14.25" customHeight="1">
      <c r="A137" s="9">
        <v>137.0</v>
      </c>
      <c r="B137" s="9">
        <f t="shared" si="1"/>
        <v>-1.42914135</v>
      </c>
      <c r="C137" s="9">
        <f t="shared" si="2"/>
        <v>0.1411817069</v>
      </c>
      <c r="D137" s="9">
        <f t="shared" si="3"/>
        <v>-0.9899836997</v>
      </c>
    </row>
    <row r="138" ht="14.25" customHeight="1">
      <c r="A138" s="9">
        <v>138.0</v>
      </c>
      <c r="B138" s="9">
        <f t="shared" si="1"/>
        <v>-1.416549797</v>
      </c>
      <c r="C138" s="9">
        <f t="shared" si="2"/>
        <v>0.1536356186</v>
      </c>
      <c r="D138" s="9">
        <f t="shared" si="3"/>
        <v>-0.9881275711</v>
      </c>
    </row>
    <row r="139" ht="14.25" customHeight="1">
      <c r="A139" s="9">
        <v>139.0</v>
      </c>
      <c r="B139" s="9">
        <f t="shared" si="1"/>
        <v>-1.403958243</v>
      </c>
      <c r="C139" s="9">
        <f t="shared" si="2"/>
        <v>0.1660651721</v>
      </c>
      <c r="D139" s="9">
        <f t="shared" si="3"/>
        <v>-0.9861147796</v>
      </c>
    </row>
    <row r="140" ht="14.25" customHeight="1">
      <c r="A140" s="9">
        <v>140.0</v>
      </c>
      <c r="B140" s="9">
        <f t="shared" si="1"/>
        <v>-1.391366689</v>
      </c>
      <c r="C140" s="9">
        <f t="shared" si="2"/>
        <v>0.1784683968</v>
      </c>
      <c r="D140" s="9">
        <f t="shared" si="3"/>
        <v>-0.9839456445</v>
      </c>
    </row>
    <row r="141" ht="14.25" customHeight="1">
      <c r="A141" s="9">
        <v>141.0</v>
      </c>
      <c r="B141" s="9">
        <f t="shared" si="1"/>
        <v>-1.378775136</v>
      </c>
      <c r="C141" s="9">
        <f t="shared" si="2"/>
        <v>0.1908433262</v>
      </c>
      <c r="D141" s="9">
        <f t="shared" si="3"/>
        <v>-0.9816205096</v>
      </c>
    </row>
    <row r="142" ht="14.25" customHeight="1">
      <c r="A142" s="9">
        <v>142.0</v>
      </c>
      <c r="B142" s="9">
        <f t="shared" si="1"/>
        <v>-1.366183582</v>
      </c>
      <c r="C142" s="9">
        <f t="shared" si="2"/>
        <v>0.2031879983</v>
      </c>
      <c r="D142" s="9">
        <f t="shared" si="3"/>
        <v>-0.9791397435</v>
      </c>
    </row>
    <row r="143" ht="14.25" customHeight="1">
      <c r="A143" s="9">
        <v>143.0</v>
      </c>
      <c r="B143" s="9">
        <f t="shared" si="1"/>
        <v>-1.353592028</v>
      </c>
      <c r="C143" s="9">
        <f t="shared" si="2"/>
        <v>0.2155004559</v>
      </c>
      <c r="D143" s="9">
        <f t="shared" si="3"/>
        <v>-0.9765037396</v>
      </c>
    </row>
    <row r="144" ht="14.25" customHeight="1">
      <c r="A144" s="9">
        <v>144.0</v>
      </c>
      <c r="B144" s="9">
        <f t="shared" si="1"/>
        <v>-1.341000475</v>
      </c>
      <c r="C144" s="9">
        <f t="shared" si="2"/>
        <v>0.227778747</v>
      </c>
      <c r="D144" s="9">
        <f t="shared" si="3"/>
        <v>-0.9737129158</v>
      </c>
    </row>
    <row r="145" ht="14.25" customHeight="1">
      <c r="A145" s="9">
        <v>145.0</v>
      </c>
      <c r="B145" s="9">
        <f t="shared" si="1"/>
        <v>-1.328408921</v>
      </c>
      <c r="C145" s="9">
        <f t="shared" si="2"/>
        <v>0.2400209249</v>
      </c>
      <c r="D145" s="9">
        <f t="shared" si="3"/>
        <v>-0.9707677145</v>
      </c>
    </row>
    <row r="146" ht="14.25" customHeight="1">
      <c r="A146" s="9">
        <v>146.0</v>
      </c>
      <c r="B146" s="9">
        <f t="shared" si="1"/>
        <v>-1.315817367</v>
      </c>
      <c r="C146" s="9">
        <f t="shared" si="2"/>
        <v>0.2522250486</v>
      </c>
      <c r="D146" s="9">
        <f t="shared" si="3"/>
        <v>-0.9676686028</v>
      </c>
    </row>
    <row r="147" ht="14.25" customHeight="1">
      <c r="A147" s="9">
        <v>147.0</v>
      </c>
      <c r="B147" s="9">
        <f t="shared" si="1"/>
        <v>-1.303225813</v>
      </c>
      <c r="C147" s="9">
        <f t="shared" si="2"/>
        <v>0.2643891833</v>
      </c>
      <c r="D147" s="9">
        <f t="shared" si="3"/>
        <v>-0.9644160719</v>
      </c>
    </row>
    <row r="148" ht="14.25" customHeight="1">
      <c r="A148" s="9">
        <v>148.0</v>
      </c>
      <c r="B148" s="9">
        <f t="shared" si="1"/>
        <v>-1.29063426</v>
      </c>
      <c r="C148" s="9">
        <f t="shared" si="2"/>
        <v>0.2765114004</v>
      </c>
      <c r="D148" s="9">
        <f t="shared" si="3"/>
        <v>-0.9610106375</v>
      </c>
    </row>
    <row r="149" ht="14.25" customHeight="1">
      <c r="A149" s="9">
        <v>149.0</v>
      </c>
      <c r="B149" s="9">
        <f t="shared" si="1"/>
        <v>-1.278042706</v>
      </c>
      <c r="C149" s="9">
        <f t="shared" si="2"/>
        <v>0.2885897779</v>
      </c>
      <c r="D149" s="9">
        <f t="shared" si="3"/>
        <v>-0.9574528396</v>
      </c>
    </row>
    <row r="150" ht="14.25" customHeight="1">
      <c r="A150" s="9">
        <v>150.0</v>
      </c>
      <c r="B150" s="9">
        <f t="shared" si="1"/>
        <v>-1.265451152</v>
      </c>
      <c r="C150" s="9">
        <f t="shared" si="2"/>
        <v>0.300622401</v>
      </c>
      <c r="D150" s="9">
        <f t="shared" si="3"/>
        <v>-0.9537432422</v>
      </c>
    </row>
    <row r="151" ht="14.25" customHeight="1">
      <c r="A151" s="9">
        <v>151.0</v>
      </c>
      <c r="B151" s="9">
        <f t="shared" si="1"/>
        <v>-1.252859599</v>
      </c>
      <c r="C151" s="9">
        <f t="shared" si="2"/>
        <v>0.3126073618</v>
      </c>
      <c r="D151" s="9">
        <f t="shared" si="3"/>
        <v>-0.9498824334</v>
      </c>
    </row>
    <row r="152" ht="14.25" customHeight="1">
      <c r="A152" s="9">
        <v>152.0</v>
      </c>
      <c r="B152" s="9">
        <f t="shared" si="1"/>
        <v>-1.240268045</v>
      </c>
      <c r="C152" s="9">
        <f t="shared" si="2"/>
        <v>0.3245427602</v>
      </c>
      <c r="D152" s="9">
        <f t="shared" si="3"/>
        <v>-0.9458710255</v>
      </c>
    </row>
    <row r="153" ht="14.25" customHeight="1">
      <c r="A153" s="9">
        <v>153.0</v>
      </c>
      <c r="B153" s="9">
        <f t="shared" si="1"/>
        <v>-1.227676491</v>
      </c>
      <c r="C153" s="9">
        <f t="shared" si="2"/>
        <v>0.336426704</v>
      </c>
      <c r="D153" s="9">
        <f t="shared" si="3"/>
        <v>-0.9417096542</v>
      </c>
    </row>
    <row r="154" ht="14.25" customHeight="1">
      <c r="A154" s="9">
        <v>154.0</v>
      </c>
      <c r="B154" s="9">
        <f t="shared" si="1"/>
        <v>-1.215084938</v>
      </c>
      <c r="C154" s="9">
        <f t="shared" si="2"/>
        <v>0.3482573089</v>
      </c>
      <c r="D154" s="9">
        <f t="shared" si="3"/>
        <v>-0.9373989795</v>
      </c>
    </row>
    <row r="155" ht="14.25" customHeight="1">
      <c r="A155" s="9">
        <v>155.0</v>
      </c>
      <c r="B155" s="9">
        <f t="shared" si="1"/>
        <v>-1.202493384</v>
      </c>
      <c r="C155" s="9">
        <f t="shared" si="2"/>
        <v>0.3600326993</v>
      </c>
      <c r="D155" s="9">
        <f t="shared" si="3"/>
        <v>-0.9329396848</v>
      </c>
    </row>
    <row r="156" ht="14.25" customHeight="1">
      <c r="A156" s="9">
        <v>156.0</v>
      </c>
      <c r="B156" s="9">
        <f t="shared" si="1"/>
        <v>-1.18990183</v>
      </c>
      <c r="C156" s="9">
        <f t="shared" si="2"/>
        <v>0.3717510084</v>
      </c>
      <c r="D156" s="9">
        <f t="shared" si="3"/>
        <v>-0.928332477</v>
      </c>
    </row>
    <row r="157" ht="14.25" customHeight="1">
      <c r="A157" s="9">
        <v>157.0</v>
      </c>
      <c r="B157" s="9">
        <f t="shared" si="1"/>
        <v>-1.177310276</v>
      </c>
      <c r="C157" s="9">
        <f t="shared" si="2"/>
        <v>0.3834103781</v>
      </c>
      <c r="D157" s="9">
        <f t="shared" si="3"/>
        <v>-0.9235780866</v>
      </c>
    </row>
    <row r="158" ht="14.25" customHeight="1">
      <c r="A158" s="9">
        <v>158.0</v>
      </c>
      <c r="B158" s="9">
        <f t="shared" si="1"/>
        <v>-1.164718723</v>
      </c>
      <c r="C158" s="9">
        <f t="shared" si="2"/>
        <v>0.3950089599</v>
      </c>
      <c r="D158" s="9">
        <f t="shared" si="3"/>
        <v>-0.9186772674</v>
      </c>
    </row>
    <row r="159" ht="14.25" customHeight="1">
      <c r="A159" s="9">
        <v>159.0</v>
      </c>
      <c r="B159" s="9">
        <f t="shared" si="1"/>
        <v>-1.152127169</v>
      </c>
      <c r="C159" s="9">
        <f t="shared" si="2"/>
        <v>0.406544915</v>
      </c>
      <c r="D159" s="9">
        <f t="shared" si="3"/>
        <v>-0.9136307964</v>
      </c>
    </row>
    <row r="160" ht="14.25" customHeight="1">
      <c r="A160" s="9">
        <v>160.0</v>
      </c>
      <c r="B160" s="9">
        <f t="shared" si="1"/>
        <v>-1.139535615</v>
      </c>
      <c r="C160" s="9">
        <f t="shared" si="2"/>
        <v>0.4180164144</v>
      </c>
      <c r="D160" s="9">
        <f t="shared" si="3"/>
        <v>-0.9084394736</v>
      </c>
    </row>
    <row r="161" ht="14.25" customHeight="1">
      <c r="A161" s="9">
        <v>161.0</v>
      </c>
      <c r="B161" s="9">
        <f t="shared" si="1"/>
        <v>-1.126944062</v>
      </c>
      <c r="C161" s="9">
        <f t="shared" si="2"/>
        <v>0.4294216393</v>
      </c>
      <c r="D161" s="9">
        <f t="shared" si="3"/>
        <v>-0.9031041223</v>
      </c>
    </row>
    <row r="162" ht="14.25" customHeight="1">
      <c r="A162" s="9">
        <v>162.0</v>
      </c>
      <c r="B162" s="9">
        <f t="shared" si="1"/>
        <v>-1.114352508</v>
      </c>
      <c r="C162" s="9">
        <f t="shared" si="2"/>
        <v>0.4407587815</v>
      </c>
      <c r="D162" s="9">
        <f t="shared" si="3"/>
        <v>-0.8976255881</v>
      </c>
    </row>
    <row r="163" ht="14.25" customHeight="1">
      <c r="A163" s="9">
        <v>163.0</v>
      </c>
      <c r="B163" s="9">
        <f t="shared" si="1"/>
        <v>-1.101760954</v>
      </c>
      <c r="C163" s="9">
        <f t="shared" si="2"/>
        <v>0.4520260436</v>
      </c>
      <c r="D163" s="9">
        <f t="shared" si="3"/>
        <v>-0.8920047398</v>
      </c>
    </row>
    <row r="164" ht="14.25" customHeight="1">
      <c r="A164" s="9">
        <v>164.0</v>
      </c>
      <c r="B164" s="9">
        <f t="shared" si="1"/>
        <v>-1.089169401</v>
      </c>
      <c r="C164" s="9">
        <f t="shared" si="2"/>
        <v>0.4632216391</v>
      </c>
      <c r="D164" s="9">
        <f t="shared" si="3"/>
        <v>-0.8862424685</v>
      </c>
    </row>
    <row r="165" ht="14.25" customHeight="1">
      <c r="A165" s="9">
        <v>165.0</v>
      </c>
      <c r="B165" s="9">
        <f t="shared" si="1"/>
        <v>-1.076577847</v>
      </c>
      <c r="C165" s="9">
        <f t="shared" si="2"/>
        <v>0.4743437931</v>
      </c>
      <c r="D165" s="9">
        <f t="shared" si="3"/>
        <v>-0.8803396878</v>
      </c>
    </row>
    <row r="166" ht="14.25" customHeight="1">
      <c r="A166" s="9">
        <v>166.0</v>
      </c>
      <c r="B166" s="9">
        <f t="shared" si="1"/>
        <v>-1.063986293</v>
      </c>
      <c r="C166" s="9">
        <f t="shared" si="2"/>
        <v>0.4853907422</v>
      </c>
      <c r="D166" s="9">
        <f t="shared" si="3"/>
        <v>-0.8742973335</v>
      </c>
    </row>
    <row r="167" ht="14.25" customHeight="1">
      <c r="A167" s="9">
        <v>167.0</v>
      </c>
      <c r="B167" s="9">
        <f t="shared" si="1"/>
        <v>-1.051394739</v>
      </c>
      <c r="C167" s="9">
        <f t="shared" si="2"/>
        <v>0.496360735</v>
      </c>
      <c r="D167" s="9">
        <f t="shared" si="3"/>
        <v>-0.8681163636</v>
      </c>
    </row>
    <row r="168" ht="14.25" customHeight="1">
      <c r="A168" s="9">
        <v>168.0</v>
      </c>
      <c r="B168" s="9">
        <f t="shared" si="1"/>
        <v>-1.038803186</v>
      </c>
      <c r="C168" s="9">
        <f t="shared" si="2"/>
        <v>0.5072520322</v>
      </c>
      <c r="D168" s="9">
        <f t="shared" si="3"/>
        <v>-0.8617977581</v>
      </c>
    </row>
    <row r="169" ht="14.25" customHeight="1">
      <c r="A169" s="9">
        <v>169.0</v>
      </c>
      <c r="B169" s="9">
        <f t="shared" si="1"/>
        <v>-1.026211632</v>
      </c>
      <c r="C169" s="9">
        <f t="shared" si="2"/>
        <v>0.518062907</v>
      </c>
      <c r="D169" s="9">
        <f t="shared" si="3"/>
        <v>-0.8553425188</v>
      </c>
    </row>
    <row r="170" ht="14.25" customHeight="1">
      <c r="A170" s="9">
        <v>170.0</v>
      </c>
      <c r="B170" s="9">
        <f t="shared" si="1"/>
        <v>-1.013620078</v>
      </c>
      <c r="C170" s="9">
        <f t="shared" si="2"/>
        <v>0.5287916455</v>
      </c>
      <c r="D170" s="9">
        <f t="shared" si="3"/>
        <v>-0.848751669</v>
      </c>
    </row>
    <row r="171" ht="14.25" customHeight="1">
      <c r="A171" s="9">
        <v>171.0</v>
      </c>
      <c r="B171" s="9">
        <f t="shared" si="1"/>
        <v>-1.001028525</v>
      </c>
      <c r="C171" s="9">
        <f t="shared" si="2"/>
        <v>0.5394365466</v>
      </c>
      <c r="D171" s="9">
        <f t="shared" si="3"/>
        <v>-0.8420262538</v>
      </c>
    </row>
    <row r="172" ht="14.25" customHeight="1">
      <c r="A172" s="9">
        <v>172.0</v>
      </c>
      <c r="B172" s="9">
        <f t="shared" si="1"/>
        <v>-0.9884369709</v>
      </c>
      <c r="C172" s="9">
        <f t="shared" si="2"/>
        <v>0.5499959227</v>
      </c>
      <c r="D172" s="9">
        <f t="shared" si="3"/>
        <v>-0.8351673395</v>
      </c>
    </row>
    <row r="173" ht="14.25" customHeight="1">
      <c r="A173" s="9">
        <v>173.0</v>
      </c>
      <c r="B173" s="9">
        <f t="shared" si="1"/>
        <v>-0.9758454172</v>
      </c>
      <c r="C173" s="9">
        <f t="shared" si="2"/>
        <v>0.5604680997</v>
      </c>
      <c r="D173" s="9">
        <f t="shared" si="3"/>
        <v>-0.8281760134</v>
      </c>
    </row>
    <row r="174" ht="14.25" customHeight="1">
      <c r="A174" s="9">
        <v>174.0</v>
      </c>
      <c r="B174" s="9">
        <f t="shared" si="1"/>
        <v>-0.9632538635</v>
      </c>
      <c r="C174" s="9">
        <f t="shared" si="2"/>
        <v>0.5708514171</v>
      </c>
      <c r="D174" s="9">
        <f t="shared" si="3"/>
        <v>-0.8210533841</v>
      </c>
    </row>
    <row r="175" ht="14.25" customHeight="1">
      <c r="A175" s="9">
        <v>175.0</v>
      </c>
      <c r="B175" s="9">
        <f t="shared" si="1"/>
        <v>-0.9506623098</v>
      </c>
      <c r="C175" s="9">
        <f t="shared" si="2"/>
        <v>0.5811442289</v>
      </c>
      <c r="D175" s="9">
        <f t="shared" si="3"/>
        <v>-0.8138005808</v>
      </c>
    </row>
    <row r="176" ht="14.25" customHeight="1">
      <c r="A176" s="9">
        <v>176.0</v>
      </c>
      <c r="B176" s="9">
        <f t="shared" si="1"/>
        <v>-0.9380707561</v>
      </c>
      <c r="C176" s="9">
        <f t="shared" si="2"/>
        <v>0.591344903</v>
      </c>
      <c r="D176" s="9">
        <f t="shared" si="3"/>
        <v>-0.8064187533</v>
      </c>
    </row>
    <row r="177" ht="14.25" customHeight="1">
      <c r="A177" s="9">
        <v>177.0</v>
      </c>
      <c r="B177" s="9">
        <f t="shared" si="1"/>
        <v>-0.9254792024</v>
      </c>
      <c r="C177" s="9">
        <f t="shared" si="2"/>
        <v>0.6014518223</v>
      </c>
      <c r="D177" s="9">
        <f t="shared" si="3"/>
        <v>-0.7989090721</v>
      </c>
    </row>
    <row r="178" ht="14.25" customHeight="1">
      <c r="A178" s="9">
        <v>178.0</v>
      </c>
      <c r="B178" s="9">
        <f t="shared" si="1"/>
        <v>-0.9128876487</v>
      </c>
      <c r="C178" s="9">
        <f t="shared" si="2"/>
        <v>0.6114633843</v>
      </c>
      <c r="D178" s="9">
        <f t="shared" si="3"/>
        <v>-0.7912727277</v>
      </c>
    </row>
    <row r="179" ht="14.25" customHeight="1">
      <c r="A179" s="9">
        <v>179.0</v>
      </c>
      <c r="B179" s="9">
        <f t="shared" si="1"/>
        <v>-0.900296095</v>
      </c>
      <c r="C179" s="9">
        <f t="shared" si="2"/>
        <v>0.6213780018</v>
      </c>
      <c r="D179" s="9">
        <f t="shared" si="3"/>
        <v>-0.7835109309</v>
      </c>
    </row>
    <row r="180" ht="14.25" customHeight="1">
      <c r="A180" s="9">
        <v>180.0</v>
      </c>
      <c r="B180" s="9">
        <f t="shared" si="1"/>
        <v>-0.8877045413</v>
      </c>
      <c r="C180" s="9">
        <f t="shared" si="2"/>
        <v>0.6311941029</v>
      </c>
      <c r="D180" s="9">
        <f t="shared" si="3"/>
        <v>-0.7756249122</v>
      </c>
    </row>
    <row r="181" ht="14.25" customHeight="1">
      <c r="A181" s="9">
        <v>181.0</v>
      </c>
      <c r="B181" s="9">
        <f t="shared" si="1"/>
        <v>-0.8751129876</v>
      </c>
      <c r="C181" s="9">
        <f t="shared" si="2"/>
        <v>0.6409101312</v>
      </c>
      <c r="D181" s="9">
        <f t="shared" si="3"/>
        <v>-0.767615922</v>
      </c>
    </row>
    <row r="182" ht="14.25" customHeight="1">
      <c r="A182" s="9">
        <v>182.0</v>
      </c>
      <c r="B182" s="9">
        <f t="shared" si="1"/>
        <v>-0.8625214339</v>
      </c>
      <c r="C182" s="9">
        <f t="shared" si="2"/>
        <v>0.6505245463</v>
      </c>
      <c r="D182" s="9">
        <f t="shared" si="3"/>
        <v>-0.7594852301</v>
      </c>
    </row>
    <row r="183" ht="14.25" customHeight="1">
      <c r="A183" s="9">
        <v>183.0</v>
      </c>
      <c r="B183" s="9">
        <f t="shared" si="1"/>
        <v>-0.8499298802</v>
      </c>
      <c r="C183" s="9">
        <f t="shared" si="2"/>
        <v>0.6600358239</v>
      </c>
      <c r="D183" s="9">
        <f t="shared" si="3"/>
        <v>-0.7512341254</v>
      </c>
    </row>
    <row r="184" ht="14.25" customHeight="1">
      <c r="A184" s="9">
        <v>184.0</v>
      </c>
      <c r="B184" s="9">
        <f t="shared" si="1"/>
        <v>-0.8373383265</v>
      </c>
      <c r="C184" s="9">
        <f t="shared" si="2"/>
        <v>0.669442456</v>
      </c>
      <c r="D184" s="9">
        <f t="shared" si="3"/>
        <v>-0.7428639162</v>
      </c>
    </row>
    <row r="185" ht="14.25" customHeight="1">
      <c r="A185" s="9">
        <v>185.0</v>
      </c>
      <c r="B185" s="9">
        <f t="shared" si="1"/>
        <v>-0.8247467728</v>
      </c>
      <c r="C185" s="9">
        <f t="shared" si="2"/>
        <v>0.6787429513</v>
      </c>
      <c r="D185" s="9">
        <f t="shared" si="3"/>
        <v>-0.7343759296</v>
      </c>
    </row>
    <row r="186" ht="14.25" customHeight="1">
      <c r="A186" s="9">
        <v>186.0</v>
      </c>
      <c r="B186" s="9">
        <f t="shared" si="1"/>
        <v>-0.8121552191</v>
      </c>
      <c r="C186" s="9">
        <f t="shared" si="2"/>
        <v>0.6879358353</v>
      </c>
      <c r="D186" s="9">
        <f t="shared" si="3"/>
        <v>-0.7257715113</v>
      </c>
    </row>
    <row r="187" ht="14.25" customHeight="1">
      <c r="A187" s="9">
        <v>187.0</v>
      </c>
      <c r="B187" s="9">
        <f t="shared" si="1"/>
        <v>-0.7995636654</v>
      </c>
      <c r="C187" s="9">
        <f t="shared" si="2"/>
        <v>0.6970196503</v>
      </c>
      <c r="D187" s="9">
        <f t="shared" si="3"/>
        <v>-0.7170520254</v>
      </c>
    </row>
    <row r="188" ht="14.25" customHeight="1">
      <c r="A188" s="9">
        <v>188.0</v>
      </c>
      <c r="B188" s="9">
        <f t="shared" si="1"/>
        <v>-0.7869721117</v>
      </c>
      <c r="C188" s="9">
        <f t="shared" si="2"/>
        <v>0.7059929563</v>
      </c>
      <c r="D188" s="9">
        <f t="shared" si="3"/>
        <v>-0.7082188544</v>
      </c>
    </row>
    <row r="189" ht="14.25" customHeight="1">
      <c r="A189" s="9">
        <v>189.0</v>
      </c>
      <c r="B189" s="9">
        <f t="shared" si="1"/>
        <v>-0.774380558</v>
      </c>
      <c r="C189" s="9">
        <f t="shared" si="2"/>
        <v>0.7148543305</v>
      </c>
      <c r="D189" s="9">
        <f t="shared" si="3"/>
        <v>-0.6992733987</v>
      </c>
    </row>
    <row r="190" ht="14.25" customHeight="1">
      <c r="A190" s="9">
        <v>190.0</v>
      </c>
      <c r="B190" s="9">
        <f t="shared" si="1"/>
        <v>-0.7617890043</v>
      </c>
      <c r="C190" s="9">
        <f t="shared" si="2"/>
        <v>0.723602368</v>
      </c>
      <c r="D190" s="9">
        <f t="shared" si="3"/>
        <v>-0.6902170767</v>
      </c>
    </row>
    <row r="191" ht="14.25" customHeight="1">
      <c r="A191" s="9">
        <v>191.0</v>
      </c>
      <c r="B191" s="9">
        <f t="shared" si="1"/>
        <v>-0.7491974506</v>
      </c>
      <c r="C191" s="9">
        <f t="shared" si="2"/>
        <v>0.732235682</v>
      </c>
      <c r="D191" s="9">
        <f t="shared" si="3"/>
        <v>-0.6810513241</v>
      </c>
    </row>
    <row r="192" ht="14.25" customHeight="1">
      <c r="A192" s="9">
        <v>192.0</v>
      </c>
      <c r="B192" s="9">
        <f t="shared" si="1"/>
        <v>-0.7366058969</v>
      </c>
      <c r="C192" s="9">
        <f t="shared" si="2"/>
        <v>0.7407529035</v>
      </c>
      <c r="D192" s="9">
        <f t="shared" si="3"/>
        <v>-0.6717775941</v>
      </c>
    </row>
    <row r="193" ht="14.25" customHeight="1">
      <c r="A193" s="9">
        <v>193.0</v>
      </c>
      <c r="B193" s="9">
        <f t="shared" si="1"/>
        <v>-0.7240143432</v>
      </c>
      <c r="C193" s="9">
        <f t="shared" si="2"/>
        <v>0.7491526822</v>
      </c>
      <c r="D193" s="9">
        <f t="shared" si="3"/>
        <v>-0.6623973571</v>
      </c>
    </row>
    <row r="194" ht="14.25" customHeight="1">
      <c r="A194" s="9">
        <v>194.0</v>
      </c>
      <c r="B194" s="9">
        <f t="shared" si="1"/>
        <v>-0.7114227895</v>
      </c>
      <c r="C194" s="9">
        <f t="shared" si="2"/>
        <v>0.7574336865</v>
      </c>
      <c r="D194" s="9">
        <f t="shared" si="3"/>
        <v>-0.6529121002</v>
      </c>
    </row>
    <row r="195" ht="14.25" customHeight="1">
      <c r="A195" s="9">
        <v>195.0</v>
      </c>
      <c r="B195" s="9">
        <f t="shared" si="1"/>
        <v>-0.6988312358</v>
      </c>
      <c r="C195" s="9">
        <f t="shared" si="2"/>
        <v>0.7655946033</v>
      </c>
      <c r="D195" s="9">
        <f t="shared" si="3"/>
        <v>-0.6433233273</v>
      </c>
    </row>
    <row r="196" ht="14.25" customHeight="1">
      <c r="A196" s="9">
        <v>196.0</v>
      </c>
      <c r="B196" s="9">
        <f t="shared" si="1"/>
        <v>-0.6862396821</v>
      </c>
      <c r="C196" s="9">
        <f t="shared" si="2"/>
        <v>0.7736341388</v>
      </c>
      <c r="D196" s="9">
        <f t="shared" si="3"/>
        <v>-0.6336325586</v>
      </c>
    </row>
    <row r="197" ht="14.25" customHeight="1">
      <c r="A197" s="9">
        <v>197.0</v>
      </c>
      <c r="B197" s="9">
        <f t="shared" si="1"/>
        <v>-0.6736481284</v>
      </c>
      <c r="C197" s="9">
        <f t="shared" si="2"/>
        <v>0.7815510184</v>
      </c>
      <c r="D197" s="9">
        <f t="shared" si="3"/>
        <v>-0.6238413305</v>
      </c>
    </row>
    <row r="198" ht="14.25" customHeight="1">
      <c r="A198" s="9">
        <v>198.0</v>
      </c>
      <c r="B198" s="9">
        <f t="shared" si="1"/>
        <v>-0.6610565747</v>
      </c>
      <c r="C198" s="9">
        <f t="shared" si="2"/>
        <v>0.7893439869</v>
      </c>
      <c r="D198" s="9">
        <f t="shared" si="3"/>
        <v>-0.6139511954</v>
      </c>
    </row>
    <row r="199" ht="14.25" customHeight="1">
      <c r="A199" s="9">
        <v>199.0</v>
      </c>
      <c r="B199" s="9">
        <f t="shared" si="1"/>
        <v>-0.648465021</v>
      </c>
      <c r="C199" s="9">
        <f t="shared" si="2"/>
        <v>0.7970118088</v>
      </c>
      <c r="D199" s="9">
        <f t="shared" si="3"/>
        <v>-0.6039637213</v>
      </c>
    </row>
    <row r="200" ht="14.25" customHeight="1">
      <c r="A200" s="9">
        <v>200.0</v>
      </c>
      <c r="B200" s="9">
        <f t="shared" si="1"/>
        <v>-0.6358734673</v>
      </c>
      <c r="C200" s="9">
        <f t="shared" si="2"/>
        <v>0.8045532683</v>
      </c>
      <c r="D200" s="9">
        <f t="shared" si="3"/>
        <v>-0.5938804918</v>
      </c>
    </row>
    <row r="201" ht="14.25" customHeight="1">
      <c r="A201" s="9">
        <v>201.0</v>
      </c>
      <c r="B201" s="9">
        <f t="shared" si="1"/>
        <v>-0.6232819136</v>
      </c>
      <c r="C201" s="9">
        <f t="shared" si="2"/>
        <v>0.8119671698</v>
      </c>
      <c r="D201" s="9">
        <f t="shared" si="3"/>
        <v>-0.5837031054</v>
      </c>
    </row>
    <row r="202" ht="14.25" customHeight="1">
      <c r="A202" s="9">
        <v>202.0</v>
      </c>
      <c r="B202" s="9">
        <f t="shared" si="1"/>
        <v>-0.6106903599</v>
      </c>
      <c r="C202" s="9">
        <f t="shared" si="2"/>
        <v>0.8192523378</v>
      </c>
      <c r="D202" s="9">
        <f t="shared" si="3"/>
        <v>-0.5734331757</v>
      </c>
    </row>
    <row r="203" ht="14.25" customHeight="1">
      <c r="A203" s="9">
        <v>203.0</v>
      </c>
      <c r="B203" s="9">
        <f t="shared" si="1"/>
        <v>-0.5980988062</v>
      </c>
      <c r="C203" s="9">
        <f t="shared" si="2"/>
        <v>0.8264076174</v>
      </c>
      <c r="D203" s="9">
        <f t="shared" si="3"/>
        <v>-0.5630723309</v>
      </c>
    </row>
    <row r="204" ht="14.25" customHeight="1">
      <c r="A204" s="9">
        <v>204.0</v>
      </c>
      <c r="B204" s="9">
        <f t="shared" si="1"/>
        <v>-0.5855072525</v>
      </c>
      <c r="C204" s="9">
        <f t="shared" si="2"/>
        <v>0.8334318741</v>
      </c>
      <c r="D204" s="9">
        <f t="shared" si="3"/>
        <v>-0.5526222138</v>
      </c>
    </row>
    <row r="205" ht="14.25" customHeight="1">
      <c r="A205" s="9">
        <v>205.0</v>
      </c>
      <c r="B205" s="9">
        <f t="shared" si="1"/>
        <v>-0.5729156988</v>
      </c>
      <c r="C205" s="9">
        <f t="shared" si="2"/>
        <v>0.8403239943</v>
      </c>
      <c r="D205" s="9">
        <f t="shared" si="3"/>
        <v>-0.5420844811</v>
      </c>
    </row>
    <row r="206" ht="14.25" customHeight="1">
      <c r="A206" s="9">
        <v>206.0</v>
      </c>
      <c r="B206" s="9">
        <f t="shared" si="1"/>
        <v>-0.5603241451</v>
      </c>
      <c r="C206" s="9">
        <f t="shared" si="2"/>
        <v>0.8470828851</v>
      </c>
      <c r="D206" s="9">
        <f t="shared" si="3"/>
        <v>-0.5314608036</v>
      </c>
    </row>
    <row r="207" ht="14.25" customHeight="1">
      <c r="A207" s="9">
        <v>207.0</v>
      </c>
      <c r="B207" s="9">
        <f t="shared" si="1"/>
        <v>-0.5477325914</v>
      </c>
      <c r="C207" s="9">
        <f t="shared" si="2"/>
        <v>0.8537074751</v>
      </c>
      <c r="D207" s="9">
        <f t="shared" si="3"/>
        <v>-0.5207528655</v>
      </c>
    </row>
    <row r="208" ht="14.25" customHeight="1">
      <c r="A208" s="9">
        <v>208.0</v>
      </c>
      <c r="B208" s="9">
        <f t="shared" si="1"/>
        <v>-0.5351410377</v>
      </c>
      <c r="C208" s="9">
        <f t="shared" si="2"/>
        <v>0.8601967139</v>
      </c>
      <c r="D208" s="9">
        <f t="shared" si="3"/>
        <v>-0.5099623647</v>
      </c>
    </row>
    <row r="209" ht="14.25" customHeight="1">
      <c r="A209" s="9">
        <v>209.0</v>
      </c>
      <c r="B209" s="9">
        <f t="shared" si="1"/>
        <v>-0.522549484</v>
      </c>
      <c r="C209" s="9">
        <f t="shared" si="2"/>
        <v>0.8665495727</v>
      </c>
      <c r="D209" s="9">
        <f t="shared" si="3"/>
        <v>-0.4990910117</v>
      </c>
    </row>
    <row r="210" ht="14.25" customHeight="1">
      <c r="A210" s="9">
        <v>210.0</v>
      </c>
      <c r="B210" s="9">
        <f t="shared" si="1"/>
        <v>-0.5099579303</v>
      </c>
      <c r="C210" s="9">
        <f t="shared" si="2"/>
        <v>0.8727650443</v>
      </c>
      <c r="D210" s="9">
        <f t="shared" si="3"/>
        <v>-0.4881405304</v>
      </c>
    </row>
    <row r="211" ht="14.25" customHeight="1">
      <c r="A211" s="9">
        <v>211.0</v>
      </c>
      <c r="B211" s="9">
        <f t="shared" si="1"/>
        <v>-0.4973663766</v>
      </c>
      <c r="C211" s="9">
        <f t="shared" si="2"/>
        <v>0.8788421433</v>
      </c>
      <c r="D211" s="9">
        <f t="shared" si="3"/>
        <v>-0.4771126567</v>
      </c>
    </row>
    <row r="212" ht="14.25" customHeight="1">
      <c r="A212" s="9">
        <v>212.0</v>
      </c>
      <c r="B212" s="9">
        <f t="shared" si="1"/>
        <v>-0.4847748229</v>
      </c>
      <c r="C212" s="9">
        <f t="shared" si="2"/>
        <v>0.8847799061</v>
      </c>
      <c r="D212" s="9">
        <f t="shared" si="3"/>
        <v>-0.4660091391</v>
      </c>
    </row>
    <row r="213" ht="14.25" customHeight="1">
      <c r="A213" s="9">
        <v>213.0</v>
      </c>
      <c r="B213" s="9">
        <f t="shared" si="1"/>
        <v>-0.4721832692</v>
      </c>
      <c r="C213" s="9">
        <f t="shared" si="2"/>
        <v>0.8905773914</v>
      </c>
      <c r="D213" s="9">
        <f t="shared" si="3"/>
        <v>-0.454831738</v>
      </c>
    </row>
    <row r="214" ht="14.25" customHeight="1">
      <c r="A214" s="9">
        <v>214.0</v>
      </c>
      <c r="B214" s="9">
        <f t="shared" si="1"/>
        <v>-0.4595917155</v>
      </c>
      <c r="C214" s="9">
        <f t="shared" si="2"/>
        <v>0.89623368</v>
      </c>
      <c r="D214" s="9">
        <f t="shared" si="3"/>
        <v>-0.4435822256</v>
      </c>
    </row>
    <row r="215" ht="14.25" customHeight="1">
      <c r="A215" s="9">
        <v>215.0</v>
      </c>
      <c r="B215" s="9">
        <f t="shared" si="1"/>
        <v>-0.4470001618</v>
      </c>
      <c r="C215" s="9">
        <f t="shared" si="2"/>
        <v>0.901747875</v>
      </c>
      <c r="D215" s="9">
        <f t="shared" si="3"/>
        <v>-0.4322623854</v>
      </c>
    </row>
    <row r="216" ht="14.25" customHeight="1">
      <c r="A216" s="9">
        <v>216.0</v>
      </c>
      <c r="B216" s="9">
        <f t="shared" si="1"/>
        <v>-0.4344086081</v>
      </c>
      <c r="C216" s="9">
        <f t="shared" si="2"/>
        <v>0.9071191024</v>
      </c>
      <c r="D216" s="9">
        <f t="shared" si="3"/>
        <v>-0.4208740121</v>
      </c>
    </row>
    <row r="217" ht="14.25" customHeight="1">
      <c r="A217" s="9">
        <v>217.0</v>
      </c>
      <c r="B217" s="9">
        <f t="shared" si="1"/>
        <v>-0.4218170544</v>
      </c>
      <c r="C217" s="9">
        <f t="shared" si="2"/>
        <v>0.9123465104</v>
      </c>
      <c r="D217" s="9">
        <f t="shared" si="3"/>
        <v>-0.4094189113</v>
      </c>
    </row>
    <row r="218" ht="14.25" customHeight="1">
      <c r="A218" s="9">
        <v>218.0</v>
      </c>
      <c r="B218" s="9">
        <f t="shared" si="1"/>
        <v>-0.4092255007</v>
      </c>
      <c r="C218" s="9">
        <f t="shared" si="2"/>
        <v>0.9174292704</v>
      </c>
      <c r="D218" s="9">
        <f t="shared" si="3"/>
        <v>-0.3978988991</v>
      </c>
    </row>
    <row r="219" ht="14.25" customHeight="1">
      <c r="A219" s="9">
        <v>219.0</v>
      </c>
      <c r="B219" s="9">
        <f t="shared" si="1"/>
        <v>-0.396633947</v>
      </c>
      <c r="C219" s="9">
        <f t="shared" si="2"/>
        <v>0.9223665764</v>
      </c>
      <c r="D219" s="9">
        <f t="shared" si="3"/>
        <v>-0.3863158019</v>
      </c>
    </row>
    <row r="220" ht="14.25" customHeight="1">
      <c r="A220" s="9">
        <v>220.0</v>
      </c>
      <c r="B220" s="9">
        <f t="shared" si="1"/>
        <v>-0.3840423933</v>
      </c>
      <c r="C220" s="9">
        <f t="shared" si="2"/>
        <v>0.9271576456</v>
      </c>
      <c r="D220" s="9">
        <f t="shared" si="3"/>
        <v>-0.3746714563</v>
      </c>
    </row>
    <row r="221" ht="14.25" customHeight="1">
      <c r="A221" s="9">
        <v>221.0</v>
      </c>
      <c r="B221" s="9">
        <f t="shared" si="1"/>
        <v>-0.3714508396</v>
      </c>
      <c r="C221" s="9">
        <f t="shared" si="2"/>
        <v>0.9318017186</v>
      </c>
      <c r="D221" s="9">
        <f t="shared" si="3"/>
        <v>-0.3629677083</v>
      </c>
    </row>
    <row r="222" ht="14.25" customHeight="1">
      <c r="A222" s="9">
        <v>222.0</v>
      </c>
      <c r="B222" s="9">
        <f t="shared" si="1"/>
        <v>-0.3588592859</v>
      </c>
      <c r="C222" s="9">
        <f t="shared" si="2"/>
        <v>0.9362980589</v>
      </c>
      <c r="D222" s="9">
        <f t="shared" si="3"/>
        <v>-0.3512064136</v>
      </c>
    </row>
    <row r="223" ht="14.25" customHeight="1">
      <c r="A223" s="9">
        <v>223.0</v>
      </c>
      <c r="B223" s="9">
        <f t="shared" si="1"/>
        <v>-0.3462677322</v>
      </c>
      <c r="C223" s="9">
        <f t="shared" si="2"/>
        <v>0.9406459537</v>
      </c>
      <c r="D223" s="9">
        <f t="shared" si="3"/>
        <v>-0.3393894368</v>
      </c>
    </row>
    <row r="224" ht="14.25" customHeight="1">
      <c r="A224" s="9">
        <v>224.0</v>
      </c>
      <c r="B224" s="9">
        <f t="shared" si="1"/>
        <v>-0.3336761785</v>
      </c>
      <c r="C224" s="9">
        <f t="shared" si="2"/>
        <v>0.9448447137</v>
      </c>
      <c r="D224" s="9">
        <f t="shared" si="3"/>
        <v>-0.3275186515</v>
      </c>
    </row>
    <row r="225" ht="14.25" customHeight="1">
      <c r="A225" s="9">
        <v>225.0</v>
      </c>
      <c r="B225" s="9">
        <f t="shared" si="1"/>
        <v>-0.3210846248</v>
      </c>
      <c r="C225" s="9">
        <f t="shared" si="2"/>
        <v>0.9488936731</v>
      </c>
      <c r="D225" s="9">
        <f t="shared" si="3"/>
        <v>-0.3155959397</v>
      </c>
    </row>
    <row r="226" ht="14.25" customHeight="1">
      <c r="A226" s="9">
        <v>226.0</v>
      </c>
      <c r="B226" s="9">
        <f t="shared" si="1"/>
        <v>-0.3084930711</v>
      </c>
      <c r="C226" s="9">
        <f t="shared" si="2"/>
        <v>0.9527921901</v>
      </c>
      <c r="D226" s="9">
        <f t="shared" si="3"/>
        <v>-0.3036231916</v>
      </c>
    </row>
    <row r="227" ht="14.25" customHeight="1">
      <c r="A227" s="9">
        <v>227.0</v>
      </c>
      <c r="B227" s="9">
        <f t="shared" si="1"/>
        <v>-0.2959015174</v>
      </c>
      <c r="C227" s="9">
        <f t="shared" si="2"/>
        <v>0.9565396465</v>
      </c>
      <c r="D227" s="9">
        <f t="shared" si="3"/>
        <v>-0.2916023056</v>
      </c>
    </row>
    <row r="228" ht="14.25" customHeight="1">
      <c r="A228" s="9">
        <v>228.0</v>
      </c>
      <c r="B228" s="9">
        <f t="shared" si="1"/>
        <v>-0.2833099637</v>
      </c>
      <c r="C228" s="9">
        <f t="shared" si="2"/>
        <v>0.9601354482</v>
      </c>
      <c r="D228" s="9">
        <f t="shared" si="3"/>
        <v>-0.2795351875</v>
      </c>
    </row>
    <row r="229" ht="14.25" customHeight="1">
      <c r="A229" s="9">
        <v>229.0</v>
      </c>
      <c r="B229" s="9">
        <f t="shared" si="1"/>
        <v>-0.27071841</v>
      </c>
      <c r="C229" s="9">
        <f t="shared" si="2"/>
        <v>0.9635790251</v>
      </c>
      <c r="D229" s="9">
        <f t="shared" si="3"/>
        <v>-0.2674237504</v>
      </c>
    </row>
    <row r="230" ht="14.25" customHeight="1">
      <c r="A230" s="9">
        <v>230.0</v>
      </c>
      <c r="B230" s="9">
        <f t="shared" si="1"/>
        <v>-0.2581268563</v>
      </c>
      <c r="C230" s="9">
        <f t="shared" si="2"/>
        <v>0.9668698313</v>
      </c>
      <c r="D230" s="9">
        <f t="shared" si="3"/>
        <v>-0.2552699146</v>
      </c>
    </row>
    <row r="231" ht="14.25" customHeight="1">
      <c r="A231" s="9">
        <v>231.0</v>
      </c>
      <c r="B231" s="9">
        <f t="shared" si="1"/>
        <v>-0.2455353026</v>
      </c>
      <c r="C231" s="9">
        <f t="shared" si="2"/>
        <v>0.970007345</v>
      </c>
      <c r="D231" s="9">
        <f t="shared" si="3"/>
        <v>-0.243075607</v>
      </c>
    </row>
    <row r="232" ht="14.25" customHeight="1">
      <c r="A232" s="9">
        <v>232.0</v>
      </c>
      <c r="B232" s="9">
        <f t="shared" si="1"/>
        <v>-0.2329437489</v>
      </c>
      <c r="C232" s="9">
        <f t="shared" si="2"/>
        <v>0.9729910687</v>
      </c>
      <c r="D232" s="9">
        <f t="shared" si="3"/>
        <v>-0.230842761</v>
      </c>
    </row>
    <row r="233" ht="14.25" customHeight="1">
      <c r="A233" s="9">
        <v>233.0</v>
      </c>
      <c r="B233" s="9">
        <f t="shared" si="1"/>
        <v>-0.2203521952</v>
      </c>
      <c r="C233" s="9">
        <f t="shared" si="2"/>
        <v>0.9758205294</v>
      </c>
      <c r="D233" s="9">
        <f t="shared" si="3"/>
        <v>-0.2185733159</v>
      </c>
    </row>
    <row r="234" ht="14.25" customHeight="1">
      <c r="A234" s="9">
        <v>234.0</v>
      </c>
      <c r="B234" s="9">
        <f t="shared" si="1"/>
        <v>-0.2077606415</v>
      </c>
      <c r="C234" s="9">
        <f t="shared" si="2"/>
        <v>0.9784952785</v>
      </c>
      <c r="D234" s="9">
        <f t="shared" si="3"/>
        <v>-0.2062692171</v>
      </c>
    </row>
    <row r="235" ht="14.25" customHeight="1">
      <c r="A235" s="9">
        <v>235.0</v>
      </c>
      <c r="B235" s="9">
        <f t="shared" si="1"/>
        <v>-0.1951690878</v>
      </c>
      <c r="C235" s="9">
        <f t="shared" si="2"/>
        <v>0.981014892</v>
      </c>
      <c r="D235" s="9">
        <f t="shared" si="3"/>
        <v>-0.1939324154</v>
      </c>
    </row>
    <row r="236" ht="14.25" customHeight="1">
      <c r="A236" s="9">
        <v>236.0</v>
      </c>
      <c r="B236" s="9">
        <f t="shared" si="1"/>
        <v>-0.1825775341</v>
      </c>
      <c r="C236" s="9">
        <f t="shared" si="2"/>
        <v>0.9833789703</v>
      </c>
      <c r="D236" s="9">
        <f t="shared" si="3"/>
        <v>-0.1815648666</v>
      </c>
    </row>
    <row r="237" ht="14.25" customHeight="1">
      <c r="A237" s="9">
        <v>237.0</v>
      </c>
      <c r="B237" s="9">
        <f t="shared" si="1"/>
        <v>-0.1699859804</v>
      </c>
      <c r="C237" s="9">
        <f t="shared" si="2"/>
        <v>0.9855871387</v>
      </c>
      <c r="D237" s="9">
        <f t="shared" si="3"/>
        <v>-0.1691685315</v>
      </c>
    </row>
    <row r="238" ht="14.25" customHeight="1">
      <c r="A238" s="9">
        <v>238.0</v>
      </c>
      <c r="B238" s="9">
        <f t="shared" si="1"/>
        <v>-0.1573944267</v>
      </c>
      <c r="C238" s="9">
        <f t="shared" si="2"/>
        <v>0.987639047</v>
      </c>
      <c r="D238" s="9">
        <f t="shared" si="3"/>
        <v>-0.1567453757</v>
      </c>
    </row>
    <row r="239" ht="14.25" customHeight="1">
      <c r="A239" s="9">
        <v>239.0</v>
      </c>
      <c r="B239" s="9">
        <f t="shared" si="1"/>
        <v>-0.144802873</v>
      </c>
      <c r="C239" s="9">
        <f t="shared" si="2"/>
        <v>0.98953437</v>
      </c>
      <c r="D239" s="9">
        <f t="shared" si="3"/>
        <v>-0.1442973686</v>
      </c>
    </row>
    <row r="240" ht="14.25" customHeight="1">
      <c r="A240" s="9">
        <v>240.0</v>
      </c>
      <c r="B240" s="9">
        <f t="shared" si="1"/>
        <v>-0.1322113193</v>
      </c>
      <c r="C240" s="9">
        <f t="shared" si="2"/>
        <v>0.9912728071</v>
      </c>
      <c r="D240" s="9">
        <f t="shared" si="3"/>
        <v>-0.1318264838</v>
      </c>
    </row>
    <row r="241" ht="14.25" customHeight="1">
      <c r="A241" s="9">
        <v>241.0</v>
      </c>
      <c r="B241" s="9">
        <f t="shared" si="1"/>
        <v>-0.1196197656</v>
      </c>
      <c r="C241" s="9">
        <f t="shared" si="2"/>
        <v>0.9928540828</v>
      </c>
      <c r="D241" s="9">
        <f t="shared" si="3"/>
        <v>-0.1193346986</v>
      </c>
    </row>
    <row r="242" ht="14.25" customHeight="1">
      <c r="A242" s="9">
        <v>242.0</v>
      </c>
      <c r="B242" s="9">
        <f t="shared" si="1"/>
        <v>-0.1070282119</v>
      </c>
      <c r="C242" s="9">
        <f t="shared" si="2"/>
        <v>0.9942779463</v>
      </c>
      <c r="D242" s="9">
        <f t="shared" si="3"/>
        <v>-0.1068239935</v>
      </c>
    </row>
    <row r="243" ht="14.25" customHeight="1">
      <c r="A243" s="9">
        <v>243.0</v>
      </c>
      <c r="B243" s="9">
        <f t="shared" si="1"/>
        <v>-0.0944366582</v>
      </c>
      <c r="C243" s="9">
        <f t="shared" si="2"/>
        <v>0.9955441718</v>
      </c>
      <c r="D243" s="9">
        <f t="shared" si="3"/>
        <v>-0.09429635198</v>
      </c>
    </row>
    <row r="244" ht="14.25" customHeight="1">
      <c r="A244" s="9">
        <v>244.0</v>
      </c>
      <c r="B244" s="9">
        <f t="shared" si="1"/>
        <v>-0.0818451045</v>
      </c>
      <c r="C244" s="9">
        <f t="shared" si="2"/>
        <v>0.9966525587</v>
      </c>
      <c r="D244" s="9">
        <f t="shared" si="3"/>
        <v>-0.08175376021</v>
      </c>
    </row>
    <row r="245" ht="14.25" customHeight="1">
      <c r="A245" s="9">
        <v>245.0</v>
      </c>
      <c r="B245" s="9">
        <f t="shared" si="1"/>
        <v>-0.0692535508</v>
      </c>
      <c r="C245" s="9">
        <f t="shared" si="2"/>
        <v>0.9976029311</v>
      </c>
      <c r="D245" s="9">
        <f t="shared" si="3"/>
        <v>-0.06919820677</v>
      </c>
    </row>
    <row r="246" ht="14.25" customHeight="1">
      <c r="A246" s="9">
        <v>246.0</v>
      </c>
      <c r="B246" s="9">
        <f t="shared" si="1"/>
        <v>-0.0566619971</v>
      </c>
      <c r="C246" s="9">
        <f t="shared" si="2"/>
        <v>0.9983951385</v>
      </c>
      <c r="D246" s="9">
        <f t="shared" si="3"/>
        <v>-0.0566316823</v>
      </c>
    </row>
    <row r="247" ht="14.25" customHeight="1">
      <c r="A247" s="9">
        <v>247.0</v>
      </c>
      <c r="B247" s="9">
        <f t="shared" si="1"/>
        <v>-0.0440704434</v>
      </c>
      <c r="C247" s="9">
        <f t="shared" si="2"/>
        <v>0.9990290552</v>
      </c>
      <c r="D247" s="9">
        <f t="shared" si="3"/>
        <v>-0.04405617915</v>
      </c>
    </row>
    <row r="248" ht="14.25" customHeight="1">
      <c r="A248" s="9">
        <v>248.0</v>
      </c>
      <c r="B248" s="9">
        <f t="shared" si="1"/>
        <v>-0.0314788897</v>
      </c>
      <c r="C248" s="9">
        <f t="shared" si="2"/>
        <v>0.9995045807</v>
      </c>
      <c r="D248" s="9">
        <f t="shared" si="3"/>
        <v>-0.03147369111</v>
      </c>
    </row>
    <row r="249" ht="14.25" customHeight="1">
      <c r="A249" s="9">
        <v>249.0</v>
      </c>
      <c r="B249" s="9">
        <f t="shared" si="1"/>
        <v>-0.018887336</v>
      </c>
      <c r="C249" s="9">
        <f t="shared" si="2"/>
        <v>0.9998216396</v>
      </c>
      <c r="D249" s="9">
        <f t="shared" si="3"/>
        <v>-0.01888621307</v>
      </c>
    </row>
    <row r="250" ht="14.25" customHeight="1">
      <c r="A250" s="9">
        <v>250.0</v>
      </c>
      <c r="B250" s="9">
        <f t="shared" si="1"/>
        <v>-0.0062957823</v>
      </c>
      <c r="C250" s="9">
        <f t="shared" si="2"/>
        <v>0.9999801816</v>
      </c>
      <c r="D250" s="9">
        <f t="shared" si="3"/>
        <v>-0.006295740709</v>
      </c>
    </row>
    <row r="251" ht="14.25" customHeight="1">
      <c r="A251" s="9">
        <v>251.0</v>
      </c>
      <c r="B251" s="9">
        <f t="shared" si="1"/>
        <v>0.0062957714</v>
      </c>
      <c r="C251" s="9">
        <f t="shared" si="2"/>
        <v>0.9999801817</v>
      </c>
      <c r="D251" s="9">
        <f t="shared" si="3"/>
        <v>0.006295729809</v>
      </c>
    </row>
    <row r="252" ht="14.25" customHeight="1">
      <c r="A252" s="9">
        <v>252.0</v>
      </c>
      <c r="B252" s="9">
        <f t="shared" si="1"/>
        <v>0.0188873251</v>
      </c>
      <c r="C252" s="9">
        <f t="shared" si="2"/>
        <v>0.9998216398</v>
      </c>
      <c r="D252" s="9">
        <f t="shared" si="3"/>
        <v>0.01888620217</v>
      </c>
    </row>
    <row r="253" ht="14.25" customHeight="1">
      <c r="A253" s="9">
        <v>253.0</v>
      </c>
      <c r="B253" s="9">
        <f t="shared" si="1"/>
        <v>0.0314788788</v>
      </c>
      <c r="C253" s="9">
        <f t="shared" si="2"/>
        <v>0.999504581</v>
      </c>
      <c r="D253" s="9">
        <f t="shared" si="3"/>
        <v>0.03147368022</v>
      </c>
    </row>
    <row r="254" ht="14.25" customHeight="1">
      <c r="A254" s="9">
        <v>254.0</v>
      </c>
      <c r="B254" s="9">
        <f t="shared" si="1"/>
        <v>0.0440704325</v>
      </c>
      <c r="C254" s="9">
        <f t="shared" si="2"/>
        <v>0.9990290557</v>
      </c>
      <c r="D254" s="9">
        <f t="shared" si="3"/>
        <v>0.04405616826</v>
      </c>
    </row>
    <row r="255" ht="14.25" customHeight="1">
      <c r="A255" s="9">
        <v>255.0</v>
      </c>
      <c r="B255" s="9">
        <f t="shared" si="1"/>
        <v>0.0566619862</v>
      </c>
      <c r="C255" s="9">
        <f t="shared" si="2"/>
        <v>0.9983951391</v>
      </c>
      <c r="D255" s="9">
        <f t="shared" si="3"/>
        <v>0.05663167142</v>
      </c>
    </row>
    <row r="256" ht="14.25" customHeight="1">
      <c r="A256" s="9">
        <v>256.0</v>
      </c>
      <c r="B256" s="9">
        <f t="shared" si="1"/>
        <v>0.0692535399</v>
      </c>
      <c r="C256" s="9">
        <f t="shared" si="2"/>
        <v>0.9976029319</v>
      </c>
      <c r="D256" s="9">
        <f t="shared" si="3"/>
        <v>0.0691981959</v>
      </c>
    </row>
    <row r="257" ht="14.25" customHeight="1">
      <c r="A257" s="9">
        <v>257.0</v>
      </c>
      <c r="B257" s="9">
        <f t="shared" si="1"/>
        <v>0.0818450936</v>
      </c>
      <c r="C257" s="9">
        <f t="shared" si="2"/>
        <v>0.9966525596</v>
      </c>
      <c r="D257" s="9">
        <f t="shared" si="3"/>
        <v>0.08175374934</v>
      </c>
    </row>
    <row r="258" ht="14.25" customHeight="1">
      <c r="A258" s="9">
        <v>258.0</v>
      </c>
      <c r="B258" s="9">
        <f t="shared" si="1"/>
        <v>0.0944366473</v>
      </c>
      <c r="C258" s="9">
        <f t="shared" si="2"/>
        <v>0.9955441728</v>
      </c>
      <c r="D258" s="9">
        <f t="shared" si="3"/>
        <v>0.09429634113</v>
      </c>
    </row>
    <row r="259" ht="14.25" customHeight="1">
      <c r="A259" s="9">
        <v>259.0</v>
      </c>
      <c r="B259" s="9">
        <f t="shared" si="1"/>
        <v>0.107028201</v>
      </c>
      <c r="C259" s="9">
        <f t="shared" si="2"/>
        <v>0.9942779474</v>
      </c>
      <c r="D259" s="9">
        <f t="shared" si="3"/>
        <v>0.1068239827</v>
      </c>
    </row>
    <row r="260" ht="14.25" customHeight="1">
      <c r="A260" s="9">
        <v>260.0</v>
      </c>
      <c r="B260" s="9">
        <f t="shared" si="1"/>
        <v>0.1196197547</v>
      </c>
      <c r="C260" s="9">
        <f t="shared" si="2"/>
        <v>0.9928540841</v>
      </c>
      <c r="D260" s="9">
        <f t="shared" si="3"/>
        <v>0.1193346878</v>
      </c>
    </row>
    <row r="261" ht="14.25" customHeight="1">
      <c r="A261" s="9">
        <v>261.0</v>
      </c>
      <c r="B261" s="9">
        <f t="shared" si="1"/>
        <v>0.1322113084</v>
      </c>
      <c r="C261" s="9">
        <f t="shared" si="2"/>
        <v>0.9912728086</v>
      </c>
      <c r="D261" s="9">
        <f t="shared" si="3"/>
        <v>0.131826473</v>
      </c>
    </row>
    <row r="262" ht="14.25" customHeight="1">
      <c r="A262" s="9">
        <v>262.0</v>
      </c>
      <c r="B262" s="9">
        <f t="shared" si="1"/>
        <v>0.1448028621</v>
      </c>
      <c r="C262" s="9">
        <f t="shared" si="2"/>
        <v>0.9895343716</v>
      </c>
      <c r="D262" s="9">
        <f t="shared" si="3"/>
        <v>0.1442973578</v>
      </c>
    </row>
    <row r="263" ht="14.25" customHeight="1">
      <c r="A263" s="9">
        <v>263.0</v>
      </c>
      <c r="B263" s="9">
        <f t="shared" si="1"/>
        <v>0.1573944158</v>
      </c>
      <c r="C263" s="9">
        <f t="shared" si="2"/>
        <v>0.9876390487</v>
      </c>
      <c r="D263" s="9">
        <f t="shared" si="3"/>
        <v>0.1567453649</v>
      </c>
    </row>
    <row r="264" ht="14.25" customHeight="1">
      <c r="A264" s="9">
        <v>264.0</v>
      </c>
      <c r="B264" s="9">
        <f t="shared" si="1"/>
        <v>0.1699859695</v>
      </c>
      <c r="C264" s="9">
        <f t="shared" si="2"/>
        <v>0.9855871405</v>
      </c>
      <c r="D264" s="9">
        <f t="shared" si="3"/>
        <v>0.1691685208</v>
      </c>
    </row>
    <row r="265" ht="14.25" customHeight="1">
      <c r="A265" s="9">
        <v>265.0</v>
      </c>
      <c r="B265" s="9">
        <f t="shared" si="1"/>
        <v>0.1825775232</v>
      </c>
      <c r="C265" s="9">
        <f t="shared" si="2"/>
        <v>0.9833789723</v>
      </c>
      <c r="D265" s="9">
        <f t="shared" si="3"/>
        <v>0.1815648559</v>
      </c>
    </row>
    <row r="266" ht="14.25" customHeight="1">
      <c r="A266" s="9">
        <v>266.0</v>
      </c>
      <c r="B266" s="9">
        <f t="shared" si="1"/>
        <v>0.1951690769</v>
      </c>
      <c r="C266" s="9">
        <f t="shared" si="2"/>
        <v>0.9810148941</v>
      </c>
      <c r="D266" s="9">
        <f t="shared" si="3"/>
        <v>0.1939324047</v>
      </c>
    </row>
    <row r="267" ht="14.25" customHeight="1">
      <c r="A267" s="9">
        <v>267.0</v>
      </c>
      <c r="B267" s="9">
        <f t="shared" si="1"/>
        <v>0.2077606306</v>
      </c>
      <c r="C267" s="9">
        <f t="shared" si="2"/>
        <v>0.9784952808</v>
      </c>
      <c r="D267" s="9">
        <f t="shared" si="3"/>
        <v>0.2062692065</v>
      </c>
    </row>
    <row r="268" ht="14.25" customHeight="1">
      <c r="A268" s="9">
        <v>268.0</v>
      </c>
      <c r="B268" s="9">
        <f t="shared" si="1"/>
        <v>0.2203521843</v>
      </c>
      <c r="C268" s="9">
        <f t="shared" si="2"/>
        <v>0.9758205318</v>
      </c>
      <c r="D268" s="9">
        <f t="shared" si="3"/>
        <v>0.2185733053</v>
      </c>
    </row>
    <row r="269" ht="14.25" customHeight="1">
      <c r="A269" s="9">
        <v>269.0</v>
      </c>
      <c r="B269" s="9">
        <f t="shared" si="1"/>
        <v>0.232943738</v>
      </c>
      <c r="C269" s="9">
        <f t="shared" si="2"/>
        <v>0.9729910712</v>
      </c>
      <c r="D269" s="9">
        <f t="shared" si="3"/>
        <v>0.2308427504</v>
      </c>
    </row>
    <row r="270" ht="14.25" customHeight="1">
      <c r="A270" s="9">
        <v>270.0</v>
      </c>
      <c r="B270" s="9">
        <f t="shared" si="1"/>
        <v>0.2455352917</v>
      </c>
      <c r="C270" s="9">
        <f t="shared" si="2"/>
        <v>0.9700073476</v>
      </c>
      <c r="D270" s="9">
        <f t="shared" si="3"/>
        <v>0.2430755965</v>
      </c>
    </row>
    <row r="271" ht="14.25" customHeight="1">
      <c r="A271" s="9">
        <v>271.0</v>
      </c>
      <c r="B271" s="9">
        <f t="shared" si="1"/>
        <v>0.2581268454</v>
      </c>
      <c r="C271" s="9">
        <f t="shared" si="2"/>
        <v>0.9668698341</v>
      </c>
      <c r="D271" s="9">
        <f t="shared" si="3"/>
        <v>0.2552699041</v>
      </c>
    </row>
    <row r="272" ht="14.25" customHeight="1">
      <c r="A272" s="9">
        <v>272.0</v>
      </c>
      <c r="B272" s="9">
        <f t="shared" si="1"/>
        <v>0.2707183991</v>
      </c>
      <c r="C272" s="9">
        <f t="shared" si="2"/>
        <v>0.9635790281</v>
      </c>
      <c r="D272" s="9">
        <f t="shared" si="3"/>
        <v>0.2674237399</v>
      </c>
    </row>
    <row r="273" ht="14.25" customHeight="1">
      <c r="A273" s="9">
        <v>273.0</v>
      </c>
      <c r="B273" s="9">
        <f t="shared" si="1"/>
        <v>0.2833099528</v>
      </c>
      <c r="C273" s="9">
        <f t="shared" si="2"/>
        <v>0.9601354513</v>
      </c>
      <c r="D273" s="9">
        <f t="shared" si="3"/>
        <v>0.279535177</v>
      </c>
    </row>
    <row r="274" ht="14.25" customHeight="1">
      <c r="A274" s="9">
        <v>274.0</v>
      </c>
      <c r="B274" s="9">
        <f t="shared" si="1"/>
        <v>0.2959015065</v>
      </c>
      <c r="C274" s="9">
        <f t="shared" si="2"/>
        <v>0.9565396497</v>
      </c>
      <c r="D274" s="9">
        <f t="shared" si="3"/>
        <v>0.2916022952</v>
      </c>
    </row>
    <row r="275" ht="14.25" customHeight="1">
      <c r="A275" s="9">
        <v>275.0</v>
      </c>
      <c r="B275" s="9">
        <f t="shared" si="1"/>
        <v>0.3084930602</v>
      </c>
      <c r="C275" s="9">
        <f t="shared" si="2"/>
        <v>0.9527921934</v>
      </c>
      <c r="D275" s="9">
        <f t="shared" si="3"/>
        <v>0.3036231813</v>
      </c>
    </row>
    <row r="276" ht="14.25" customHeight="1">
      <c r="A276" s="9">
        <v>276.0</v>
      </c>
      <c r="B276" s="9">
        <f t="shared" si="1"/>
        <v>0.3210846139</v>
      </c>
      <c r="C276" s="9">
        <f t="shared" si="2"/>
        <v>0.9488936766</v>
      </c>
      <c r="D276" s="9">
        <f t="shared" si="3"/>
        <v>0.3155959293</v>
      </c>
    </row>
    <row r="277" ht="14.25" customHeight="1">
      <c r="A277" s="9">
        <v>277.0</v>
      </c>
      <c r="B277" s="9">
        <f t="shared" si="1"/>
        <v>0.3336761676</v>
      </c>
      <c r="C277" s="9">
        <f t="shared" si="2"/>
        <v>0.9448447172</v>
      </c>
      <c r="D277" s="9">
        <f t="shared" si="3"/>
        <v>0.3275186412</v>
      </c>
    </row>
    <row r="278" ht="14.25" customHeight="1">
      <c r="A278" s="9">
        <v>278.0</v>
      </c>
      <c r="B278" s="9">
        <f t="shared" si="1"/>
        <v>0.3462677213</v>
      </c>
      <c r="C278" s="9">
        <f t="shared" si="2"/>
        <v>0.9406459574</v>
      </c>
      <c r="D278" s="9">
        <f t="shared" si="3"/>
        <v>0.3393894266</v>
      </c>
    </row>
    <row r="279" ht="14.25" customHeight="1">
      <c r="A279" s="9">
        <v>279.0</v>
      </c>
      <c r="B279" s="9">
        <f t="shared" si="1"/>
        <v>0.358859275</v>
      </c>
      <c r="C279" s="9">
        <f t="shared" si="2"/>
        <v>0.9362980627</v>
      </c>
      <c r="D279" s="9">
        <f t="shared" si="3"/>
        <v>0.3512064034</v>
      </c>
    </row>
    <row r="280" ht="14.25" customHeight="1">
      <c r="A280" s="9">
        <v>280.0</v>
      </c>
      <c r="B280" s="9">
        <f t="shared" si="1"/>
        <v>0.3714508287</v>
      </c>
      <c r="C280" s="9">
        <f t="shared" si="2"/>
        <v>0.9318017225</v>
      </c>
      <c r="D280" s="9">
        <f t="shared" si="3"/>
        <v>0.3629676982</v>
      </c>
    </row>
    <row r="281" ht="14.25" customHeight="1">
      <c r="A281" s="9">
        <v>281.0</v>
      </c>
      <c r="B281" s="9">
        <f t="shared" si="1"/>
        <v>0.3840423824</v>
      </c>
      <c r="C281" s="9">
        <f t="shared" si="2"/>
        <v>0.9271576497</v>
      </c>
      <c r="D281" s="9">
        <f t="shared" si="3"/>
        <v>0.3746714462</v>
      </c>
    </row>
    <row r="282" ht="14.25" customHeight="1">
      <c r="A282" s="9">
        <v>282.0</v>
      </c>
      <c r="B282" s="9">
        <f t="shared" si="1"/>
        <v>0.3966339361</v>
      </c>
      <c r="C282" s="9">
        <f t="shared" si="2"/>
        <v>0.9223665806</v>
      </c>
      <c r="D282" s="9">
        <f t="shared" si="3"/>
        <v>0.3863157919</v>
      </c>
    </row>
    <row r="283" ht="14.25" customHeight="1">
      <c r="A283" s="9">
        <v>283.0</v>
      </c>
      <c r="B283" s="9">
        <f t="shared" si="1"/>
        <v>0.4092254898</v>
      </c>
      <c r="C283" s="9">
        <f t="shared" si="2"/>
        <v>0.9174292747</v>
      </c>
      <c r="D283" s="9">
        <f t="shared" si="3"/>
        <v>0.3978988891</v>
      </c>
    </row>
    <row r="284" ht="14.25" customHeight="1">
      <c r="A284" s="9">
        <v>284.0</v>
      </c>
      <c r="B284" s="9">
        <f t="shared" si="1"/>
        <v>0.4218170435</v>
      </c>
      <c r="C284" s="9">
        <f t="shared" si="2"/>
        <v>0.9123465149</v>
      </c>
      <c r="D284" s="9">
        <f t="shared" si="3"/>
        <v>0.4094189013</v>
      </c>
    </row>
    <row r="285" ht="14.25" customHeight="1">
      <c r="A285" s="9">
        <v>285.0</v>
      </c>
      <c r="B285" s="9">
        <f t="shared" si="1"/>
        <v>0.4344085972</v>
      </c>
      <c r="C285" s="9">
        <f t="shared" si="2"/>
        <v>0.907119107</v>
      </c>
      <c r="D285" s="9">
        <f t="shared" si="3"/>
        <v>0.4208740022</v>
      </c>
    </row>
    <row r="286" ht="14.25" customHeight="1">
      <c r="A286" s="9">
        <v>286.0</v>
      </c>
      <c r="B286" s="9">
        <f t="shared" si="1"/>
        <v>0.4470001509</v>
      </c>
      <c r="C286" s="9">
        <f t="shared" si="2"/>
        <v>0.9017478798</v>
      </c>
      <c r="D286" s="9">
        <f t="shared" si="3"/>
        <v>0.4322623756</v>
      </c>
    </row>
    <row r="287" ht="14.25" customHeight="1">
      <c r="A287" s="9">
        <v>287.0</v>
      </c>
      <c r="B287" s="9">
        <f t="shared" si="1"/>
        <v>0.4595917046</v>
      </c>
      <c r="C287" s="9">
        <f t="shared" si="2"/>
        <v>0.8962336848</v>
      </c>
      <c r="D287" s="9">
        <f t="shared" si="3"/>
        <v>0.4435822159</v>
      </c>
    </row>
    <row r="288" ht="14.25" customHeight="1">
      <c r="A288" s="9">
        <v>288.0</v>
      </c>
      <c r="B288" s="9">
        <f t="shared" si="1"/>
        <v>0.4721832583</v>
      </c>
      <c r="C288" s="9">
        <f t="shared" si="2"/>
        <v>0.8905773964</v>
      </c>
      <c r="D288" s="9">
        <f t="shared" si="3"/>
        <v>0.4548317283</v>
      </c>
    </row>
    <row r="289" ht="14.25" customHeight="1">
      <c r="A289" s="9">
        <v>289.0</v>
      </c>
      <c r="B289" s="9">
        <f t="shared" si="1"/>
        <v>0.484774812</v>
      </c>
      <c r="C289" s="9">
        <f t="shared" si="2"/>
        <v>0.8847799112</v>
      </c>
      <c r="D289" s="9">
        <f t="shared" si="3"/>
        <v>0.4660091294</v>
      </c>
    </row>
    <row r="290" ht="14.25" customHeight="1">
      <c r="A290" s="9">
        <v>290.0</v>
      </c>
      <c r="B290" s="9">
        <f t="shared" si="1"/>
        <v>0.4973663657</v>
      </c>
      <c r="C290" s="9">
        <f t="shared" si="2"/>
        <v>0.8788421485</v>
      </c>
      <c r="D290" s="9">
        <f t="shared" si="3"/>
        <v>0.4771126471</v>
      </c>
    </row>
    <row r="291" ht="14.25" customHeight="1">
      <c r="A291" s="9">
        <v>291.0</v>
      </c>
      <c r="B291" s="9">
        <f t="shared" si="1"/>
        <v>0.5099579194</v>
      </c>
      <c r="C291" s="9">
        <f t="shared" si="2"/>
        <v>0.8727650497</v>
      </c>
      <c r="D291" s="9">
        <f t="shared" si="3"/>
        <v>0.4881405208</v>
      </c>
    </row>
    <row r="292" ht="14.25" customHeight="1">
      <c r="A292" s="9">
        <v>292.0</v>
      </c>
      <c r="B292" s="9">
        <f t="shared" si="1"/>
        <v>0.5225494731</v>
      </c>
      <c r="C292" s="9">
        <f t="shared" si="2"/>
        <v>0.8665495782</v>
      </c>
      <c r="D292" s="9">
        <f t="shared" si="3"/>
        <v>0.4990910023</v>
      </c>
    </row>
    <row r="293" ht="14.25" customHeight="1">
      <c r="A293" s="9">
        <v>293.0</v>
      </c>
      <c r="B293" s="9">
        <f t="shared" si="1"/>
        <v>0.5351410268</v>
      </c>
      <c r="C293" s="9">
        <f t="shared" si="2"/>
        <v>0.8601967195</v>
      </c>
      <c r="D293" s="9">
        <f t="shared" si="3"/>
        <v>0.5099623553</v>
      </c>
    </row>
    <row r="294" ht="14.25" customHeight="1">
      <c r="A294" s="9">
        <v>294.0</v>
      </c>
      <c r="B294" s="9">
        <f t="shared" si="1"/>
        <v>0.5477325805</v>
      </c>
      <c r="C294" s="9">
        <f t="shared" si="2"/>
        <v>0.8537074808</v>
      </c>
      <c r="D294" s="9">
        <f t="shared" si="3"/>
        <v>0.5207528562</v>
      </c>
    </row>
    <row r="295" ht="14.25" customHeight="1">
      <c r="A295" s="9">
        <v>295.0</v>
      </c>
      <c r="B295" s="9">
        <f t="shared" si="1"/>
        <v>0.5603241342</v>
      </c>
      <c r="C295" s="9">
        <f t="shared" si="2"/>
        <v>0.8470828909</v>
      </c>
      <c r="D295" s="9">
        <f t="shared" si="3"/>
        <v>0.5314607944</v>
      </c>
    </row>
    <row r="296" ht="14.25" customHeight="1">
      <c r="A296" s="9">
        <v>296.0</v>
      </c>
      <c r="B296" s="9">
        <f t="shared" si="1"/>
        <v>0.5729156879</v>
      </c>
      <c r="C296" s="9">
        <f t="shared" si="2"/>
        <v>0.8403240002</v>
      </c>
      <c r="D296" s="9">
        <f t="shared" si="3"/>
        <v>0.542084472</v>
      </c>
    </row>
    <row r="297" ht="14.25" customHeight="1">
      <c r="A297" s="9">
        <v>297.0</v>
      </c>
      <c r="B297" s="9">
        <f t="shared" si="1"/>
        <v>0.5855072416</v>
      </c>
      <c r="C297" s="9">
        <f t="shared" si="2"/>
        <v>0.8334318801</v>
      </c>
      <c r="D297" s="9">
        <f t="shared" si="3"/>
        <v>0.5526222047</v>
      </c>
    </row>
    <row r="298" ht="14.25" customHeight="1">
      <c r="A298" s="9">
        <v>298.0</v>
      </c>
      <c r="B298" s="9">
        <f t="shared" si="1"/>
        <v>0.5980987953</v>
      </c>
      <c r="C298" s="9">
        <f t="shared" si="2"/>
        <v>0.8264076236</v>
      </c>
      <c r="D298" s="9">
        <f t="shared" si="3"/>
        <v>0.5630723219</v>
      </c>
    </row>
    <row r="299" ht="14.25" customHeight="1">
      <c r="A299" s="9">
        <v>299.0</v>
      </c>
      <c r="B299" s="9">
        <f t="shared" si="1"/>
        <v>0.610690349</v>
      </c>
      <c r="C299" s="9">
        <f t="shared" si="2"/>
        <v>0.8192523441</v>
      </c>
      <c r="D299" s="9">
        <f t="shared" si="3"/>
        <v>0.5734331667</v>
      </c>
    </row>
    <row r="300" ht="14.25" customHeight="1">
      <c r="A300" s="9">
        <v>300.0</v>
      </c>
      <c r="B300" s="9">
        <f t="shared" si="1"/>
        <v>0.6232819027</v>
      </c>
      <c r="C300" s="9">
        <f t="shared" si="2"/>
        <v>0.8119671761</v>
      </c>
      <c r="D300" s="9">
        <f t="shared" si="3"/>
        <v>0.5837030965</v>
      </c>
    </row>
    <row r="301" ht="14.25" customHeight="1">
      <c r="A301" s="9">
        <v>301.0</v>
      </c>
      <c r="B301" s="9">
        <f t="shared" si="1"/>
        <v>0.6358734564</v>
      </c>
      <c r="C301" s="9">
        <f t="shared" si="2"/>
        <v>0.8045532747</v>
      </c>
      <c r="D301" s="9">
        <f t="shared" si="3"/>
        <v>0.593880483</v>
      </c>
    </row>
    <row r="302" ht="14.25" customHeight="1">
      <c r="A302" s="9">
        <v>302.0</v>
      </c>
      <c r="B302" s="9">
        <f t="shared" si="1"/>
        <v>0.6484650101</v>
      </c>
      <c r="C302" s="9">
        <f t="shared" si="2"/>
        <v>0.7970118153</v>
      </c>
      <c r="D302" s="9">
        <f t="shared" si="3"/>
        <v>0.6039637127</v>
      </c>
    </row>
    <row r="303" ht="14.25" customHeight="1">
      <c r="A303" s="9">
        <v>303.0</v>
      </c>
      <c r="B303" s="9">
        <f t="shared" si="1"/>
        <v>0.6610565638</v>
      </c>
      <c r="C303" s="9">
        <f t="shared" si="2"/>
        <v>0.7893439936</v>
      </c>
      <c r="D303" s="9">
        <f t="shared" si="3"/>
        <v>0.6139511868</v>
      </c>
    </row>
    <row r="304" ht="14.25" customHeight="1">
      <c r="A304" s="9">
        <v>304.0</v>
      </c>
      <c r="B304" s="9">
        <f t="shared" si="1"/>
        <v>0.6736481175</v>
      </c>
      <c r="C304" s="9">
        <f t="shared" si="2"/>
        <v>0.7815510252</v>
      </c>
      <c r="D304" s="9">
        <f t="shared" si="3"/>
        <v>0.623841322</v>
      </c>
    </row>
    <row r="305" ht="14.25" customHeight="1">
      <c r="A305" s="9">
        <v>305.0</v>
      </c>
      <c r="B305" s="9">
        <f t="shared" si="1"/>
        <v>0.6862396712</v>
      </c>
      <c r="C305" s="9">
        <f t="shared" si="2"/>
        <v>0.7736341457</v>
      </c>
      <c r="D305" s="9">
        <f t="shared" si="3"/>
        <v>0.6336325501</v>
      </c>
    </row>
    <row r="306" ht="14.25" customHeight="1">
      <c r="A306" s="9">
        <v>306.0</v>
      </c>
      <c r="B306" s="9">
        <f t="shared" si="1"/>
        <v>0.6988312249</v>
      </c>
      <c r="C306" s="9">
        <f t="shared" si="2"/>
        <v>0.7655946103</v>
      </c>
      <c r="D306" s="9">
        <f t="shared" si="3"/>
        <v>0.6433233189</v>
      </c>
    </row>
    <row r="307" ht="14.25" customHeight="1">
      <c r="A307" s="9">
        <v>307.0</v>
      </c>
      <c r="B307" s="9">
        <f t="shared" si="1"/>
        <v>0.7114227786</v>
      </c>
      <c r="C307" s="9">
        <f t="shared" si="2"/>
        <v>0.7574336936</v>
      </c>
      <c r="D307" s="9">
        <f t="shared" si="3"/>
        <v>0.652912092</v>
      </c>
    </row>
    <row r="308" ht="14.25" customHeight="1">
      <c r="A308" s="9">
        <v>308.0</v>
      </c>
      <c r="B308" s="9">
        <f t="shared" si="1"/>
        <v>0.7240143323</v>
      </c>
      <c r="C308" s="9">
        <f t="shared" si="2"/>
        <v>0.7491526894</v>
      </c>
      <c r="D308" s="9">
        <f t="shared" si="3"/>
        <v>0.6623973489</v>
      </c>
    </row>
    <row r="309" ht="14.25" customHeight="1">
      <c r="A309" s="9">
        <v>309.0</v>
      </c>
      <c r="B309" s="9">
        <f t="shared" si="1"/>
        <v>0.736605886</v>
      </c>
      <c r="C309" s="9">
        <f t="shared" si="2"/>
        <v>0.7407529108</v>
      </c>
      <c r="D309" s="9">
        <f t="shared" si="3"/>
        <v>0.6717775861</v>
      </c>
    </row>
    <row r="310" ht="14.25" customHeight="1">
      <c r="A310" s="9">
        <v>310.0</v>
      </c>
      <c r="B310" s="9">
        <f t="shared" si="1"/>
        <v>0.7491974397</v>
      </c>
      <c r="C310" s="9">
        <f t="shared" si="2"/>
        <v>0.7322356894</v>
      </c>
      <c r="D310" s="9">
        <f t="shared" si="3"/>
        <v>0.6810513161</v>
      </c>
    </row>
    <row r="311" ht="14.25" customHeight="1">
      <c r="A311" s="9">
        <v>311.0</v>
      </c>
      <c r="B311" s="9">
        <f t="shared" si="1"/>
        <v>0.7617889934</v>
      </c>
      <c r="C311" s="9">
        <f t="shared" si="2"/>
        <v>0.7236023756</v>
      </c>
      <c r="D311" s="9">
        <f t="shared" si="3"/>
        <v>0.6902170688</v>
      </c>
    </row>
    <row r="312" ht="14.25" customHeight="1">
      <c r="A312" s="9">
        <v>312.0</v>
      </c>
      <c r="B312" s="9">
        <f t="shared" si="1"/>
        <v>0.7743805471</v>
      </c>
      <c r="C312" s="9">
        <f t="shared" si="2"/>
        <v>0.7148543381</v>
      </c>
      <c r="D312" s="9">
        <f t="shared" si="3"/>
        <v>0.6992733909</v>
      </c>
    </row>
    <row r="313" ht="14.25" customHeight="1">
      <c r="A313" s="9">
        <v>313.0</v>
      </c>
      <c r="B313" s="9">
        <f t="shared" si="1"/>
        <v>0.7869721008</v>
      </c>
      <c r="C313" s="9">
        <f t="shared" si="2"/>
        <v>0.705992964</v>
      </c>
      <c r="D313" s="9">
        <f t="shared" si="3"/>
        <v>0.7082188467</v>
      </c>
    </row>
    <row r="314" ht="14.25" customHeight="1">
      <c r="A314" s="9">
        <v>314.0</v>
      </c>
      <c r="B314" s="9">
        <f t="shared" si="1"/>
        <v>0.7995636545</v>
      </c>
      <c r="C314" s="9">
        <f t="shared" si="2"/>
        <v>0.6970196581</v>
      </c>
      <c r="D314" s="9">
        <f t="shared" si="3"/>
        <v>0.7170520178</v>
      </c>
    </row>
    <row r="315" ht="14.25" customHeight="1">
      <c r="A315" s="9">
        <v>315.0</v>
      </c>
      <c r="B315" s="9">
        <f t="shared" si="1"/>
        <v>0.8121552082</v>
      </c>
      <c r="C315" s="9">
        <f t="shared" si="2"/>
        <v>0.6879358432</v>
      </c>
      <c r="D315" s="9">
        <f t="shared" si="3"/>
        <v>0.7257715038</v>
      </c>
    </row>
    <row r="316" ht="14.25" customHeight="1">
      <c r="A316" s="9">
        <v>316.0</v>
      </c>
      <c r="B316" s="9">
        <f t="shared" si="1"/>
        <v>0.8247467619</v>
      </c>
      <c r="C316" s="9">
        <f t="shared" si="2"/>
        <v>0.6787429593</v>
      </c>
      <c r="D316" s="9">
        <f t="shared" si="3"/>
        <v>0.7343759222</v>
      </c>
    </row>
    <row r="317" ht="14.25" customHeight="1">
      <c r="A317" s="9">
        <v>317.0</v>
      </c>
      <c r="B317" s="9">
        <f t="shared" si="1"/>
        <v>0.8373383156</v>
      </c>
      <c r="C317" s="9">
        <f t="shared" si="2"/>
        <v>0.6694424641</v>
      </c>
      <c r="D317" s="9">
        <f t="shared" si="3"/>
        <v>0.7428639089</v>
      </c>
    </row>
    <row r="318" ht="14.25" customHeight="1">
      <c r="A318" s="9">
        <v>318.0</v>
      </c>
      <c r="B318" s="9">
        <f t="shared" si="1"/>
        <v>0.8499298693</v>
      </c>
      <c r="C318" s="9">
        <f t="shared" si="2"/>
        <v>0.6600358321</v>
      </c>
      <c r="D318" s="9">
        <f t="shared" si="3"/>
        <v>0.7512341182</v>
      </c>
    </row>
    <row r="319" ht="14.25" customHeight="1">
      <c r="A319" s="9">
        <v>319.0</v>
      </c>
      <c r="B319" s="9">
        <f t="shared" si="1"/>
        <v>0.862521423</v>
      </c>
      <c r="C319" s="9">
        <f t="shared" si="2"/>
        <v>0.6505245546</v>
      </c>
      <c r="D319" s="9">
        <f t="shared" si="3"/>
        <v>0.759485223</v>
      </c>
    </row>
    <row r="320" ht="14.25" customHeight="1">
      <c r="A320" s="9">
        <v>320.0</v>
      </c>
      <c r="B320" s="9">
        <f t="shared" si="1"/>
        <v>0.8751129767</v>
      </c>
      <c r="C320" s="9">
        <f t="shared" si="2"/>
        <v>0.6409101395</v>
      </c>
      <c r="D320" s="9">
        <f t="shared" si="3"/>
        <v>0.767615915</v>
      </c>
    </row>
    <row r="321" ht="14.25" customHeight="1">
      <c r="A321" s="9">
        <v>321.0</v>
      </c>
      <c r="B321" s="9">
        <f t="shared" si="1"/>
        <v>0.8877045304</v>
      </c>
      <c r="C321" s="9">
        <f t="shared" si="2"/>
        <v>0.6311941113</v>
      </c>
      <c r="D321" s="9">
        <f t="shared" si="3"/>
        <v>0.7756249054</v>
      </c>
    </row>
    <row r="322" ht="14.25" customHeight="1">
      <c r="A322" s="9">
        <v>322.0</v>
      </c>
      <c r="B322" s="9">
        <f t="shared" si="1"/>
        <v>0.9002960841</v>
      </c>
      <c r="C322" s="9">
        <f t="shared" si="2"/>
        <v>0.6213780104</v>
      </c>
      <c r="D322" s="9">
        <f t="shared" si="3"/>
        <v>0.7835109241</v>
      </c>
    </row>
    <row r="323" ht="14.25" customHeight="1">
      <c r="A323" s="9">
        <v>323.0</v>
      </c>
      <c r="B323" s="9">
        <f t="shared" si="1"/>
        <v>0.9128876378</v>
      </c>
      <c r="C323" s="9">
        <f t="shared" si="2"/>
        <v>0.611463393</v>
      </c>
      <c r="D323" s="9">
        <f t="shared" si="3"/>
        <v>0.791272721</v>
      </c>
    </row>
    <row r="324" ht="14.25" customHeight="1">
      <c r="A324" s="9">
        <v>324.0</v>
      </c>
      <c r="B324" s="9">
        <f t="shared" si="1"/>
        <v>0.9254791915</v>
      </c>
      <c r="C324" s="9">
        <f t="shared" si="2"/>
        <v>0.601451831</v>
      </c>
      <c r="D324" s="9">
        <f t="shared" si="3"/>
        <v>0.7989090655</v>
      </c>
    </row>
    <row r="325" ht="14.25" customHeight="1">
      <c r="A325" s="9">
        <v>325.0</v>
      </c>
      <c r="B325" s="9">
        <f t="shared" si="1"/>
        <v>0.9380707452</v>
      </c>
      <c r="C325" s="9">
        <f t="shared" si="2"/>
        <v>0.5913449118</v>
      </c>
      <c r="D325" s="9">
        <f t="shared" si="3"/>
        <v>0.8064187469</v>
      </c>
    </row>
    <row r="326" ht="14.25" customHeight="1">
      <c r="A326" s="9">
        <v>326.0</v>
      </c>
      <c r="B326" s="9">
        <f t="shared" si="1"/>
        <v>0.9506622989</v>
      </c>
      <c r="C326" s="9">
        <f t="shared" si="2"/>
        <v>0.5811442377</v>
      </c>
      <c r="D326" s="9">
        <f t="shared" si="3"/>
        <v>0.8138005744</v>
      </c>
    </row>
    <row r="327" ht="14.25" customHeight="1">
      <c r="A327" s="9">
        <v>327.0</v>
      </c>
      <c r="B327" s="9">
        <f t="shared" si="1"/>
        <v>0.9632538526</v>
      </c>
      <c r="C327" s="9">
        <f t="shared" si="2"/>
        <v>0.5708514261</v>
      </c>
      <c r="D327" s="9">
        <f t="shared" si="3"/>
        <v>0.8210533779</v>
      </c>
    </row>
    <row r="328" ht="14.25" customHeight="1">
      <c r="A328" s="9">
        <v>328.0</v>
      </c>
      <c r="B328" s="9">
        <f t="shared" si="1"/>
        <v>0.9758454063</v>
      </c>
      <c r="C328" s="9">
        <f t="shared" si="2"/>
        <v>0.5604681087</v>
      </c>
      <c r="D328" s="9">
        <f t="shared" si="3"/>
        <v>0.8281760073</v>
      </c>
    </row>
    <row r="329" ht="14.25" customHeight="1">
      <c r="A329" s="9">
        <v>329.0</v>
      </c>
      <c r="B329" s="9">
        <f t="shared" si="1"/>
        <v>0.98843696</v>
      </c>
      <c r="C329" s="9">
        <f t="shared" si="2"/>
        <v>0.5499959318</v>
      </c>
      <c r="D329" s="9">
        <f t="shared" si="3"/>
        <v>0.8351673335</v>
      </c>
    </row>
    <row r="330" ht="14.25" customHeight="1">
      <c r="A330" s="9">
        <v>330.0</v>
      </c>
      <c r="B330" s="9">
        <f t="shared" si="1"/>
        <v>1.001028514</v>
      </c>
      <c r="C330" s="9">
        <f t="shared" si="2"/>
        <v>0.5394365558</v>
      </c>
      <c r="D330" s="9">
        <f t="shared" si="3"/>
        <v>0.842026248</v>
      </c>
    </row>
    <row r="331" ht="14.25" customHeight="1">
      <c r="A331" s="9">
        <v>331.0</v>
      </c>
      <c r="B331" s="9">
        <f t="shared" si="1"/>
        <v>1.013620067</v>
      </c>
      <c r="C331" s="9">
        <f t="shared" si="2"/>
        <v>0.5287916547</v>
      </c>
      <c r="D331" s="9">
        <f t="shared" si="3"/>
        <v>0.8487516633</v>
      </c>
    </row>
    <row r="332" ht="14.25" customHeight="1">
      <c r="A332" s="9">
        <v>332.0</v>
      </c>
      <c r="B332" s="9">
        <f t="shared" si="1"/>
        <v>1.026211621</v>
      </c>
      <c r="C332" s="9">
        <f t="shared" si="2"/>
        <v>0.5180629163</v>
      </c>
      <c r="D332" s="9">
        <f t="shared" si="3"/>
        <v>0.8553425131</v>
      </c>
    </row>
    <row r="333" ht="14.25" customHeight="1">
      <c r="A333" s="9">
        <v>333.0</v>
      </c>
      <c r="B333" s="9">
        <f t="shared" si="1"/>
        <v>1.038803175</v>
      </c>
      <c r="C333" s="9">
        <f t="shared" si="2"/>
        <v>0.5072520415</v>
      </c>
      <c r="D333" s="9">
        <f t="shared" si="3"/>
        <v>0.8617977526</v>
      </c>
    </row>
    <row r="334" ht="14.25" customHeight="1">
      <c r="A334" s="9">
        <v>334.0</v>
      </c>
      <c r="B334" s="9">
        <f t="shared" si="1"/>
        <v>1.051394729</v>
      </c>
      <c r="C334" s="9">
        <f t="shared" si="2"/>
        <v>0.4963607444</v>
      </c>
      <c r="D334" s="9">
        <f t="shared" si="3"/>
        <v>0.8681163582</v>
      </c>
    </row>
    <row r="335" ht="14.25" customHeight="1">
      <c r="A335" s="9">
        <v>335.0</v>
      </c>
      <c r="B335" s="9">
        <f t="shared" si="1"/>
        <v>1.063986282</v>
      </c>
      <c r="C335" s="9">
        <f t="shared" si="2"/>
        <v>0.4853907517</v>
      </c>
      <c r="D335" s="9">
        <f t="shared" si="3"/>
        <v>0.8742973282</v>
      </c>
    </row>
    <row r="336" ht="14.25" customHeight="1">
      <c r="A336" s="9">
        <v>336.0</v>
      </c>
      <c r="B336" s="9">
        <f t="shared" si="1"/>
        <v>1.076577836</v>
      </c>
      <c r="C336" s="9">
        <f t="shared" si="2"/>
        <v>0.4743438027</v>
      </c>
      <c r="D336" s="9">
        <f t="shared" si="3"/>
        <v>0.8803396826</v>
      </c>
    </row>
    <row r="337" ht="14.25" customHeight="1">
      <c r="A337" s="9">
        <v>337.0</v>
      </c>
      <c r="B337" s="9">
        <f t="shared" si="1"/>
        <v>1.08916939</v>
      </c>
      <c r="C337" s="9">
        <f t="shared" si="2"/>
        <v>0.4632216488</v>
      </c>
      <c r="D337" s="9">
        <f t="shared" si="3"/>
        <v>0.8862424635</v>
      </c>
    </row>
    <row r="338" ht="14.25" customHeight="1">
      <c r="A338" s="9">
        <v>338.0</v>
      </c>
      <c r="B338" s="9">
        <f t="shared" si="1"/>
        <v>1.101760943</v>
      </c>
      <c r="C338" s="9">
        <f t="shared" si="2"/>
        <v>0.4520260533</v>
      </c>
      <c r="D338" s="9">
        <f t="shared" si="3"/>
        <v>0.8920047349</v>
      </c>
    </row>
    <row r="339" ht="14.25" customHeight="1">
      <c r="A339" s="9">
        <v>339.0</v>
      </c>
      <c r="B339" s="9">
        <f t="shared" si="1"/>
        <v>1.114352497</v>
      </c>
      <c r="C339" s="9">
        <f t="shared" si="2"/>
        <v>0.4407587913</v>
      </c>
      <c r="D339" s="9">
        <f t="shared" si="3"/>
        <v>0.8976255833</v>
      </c>
    </row>
    <row r="340" ht="14.25" customHeight="1">
      <c r="A340" s="9">
        <v>340.0</v>
      </c>
      <c r="B340" s="9">
        <f t="shared" si="1"/>
        <v>1.126944051</v>
      </c>
      <c r="C340" s="9">
        <f t="shared" si="2"/>
        <v>0.4294216492</v>
      </c>
      <c r="D340" s="9">
        <f t="shared" si="3"/>
        <v>0.9031041176</v>
      </c>
    </row>
    <row r="341" ht="14.25" customHeight="1">
      <c r="A341" s="9">
        <v>341.0</v>
      </c>
      <c r="B341" s="9">
        <f t="shared" si="1"/>
        <v>1.139535604</v>
      </c>
      <c r="C341" s="9">
        <f t="shared" si="2"/>
        <v>0.4180164243</v>
      </c>
      <c r="D341" s="9">
        <f t="shared" si="3"/>
        <v>0.9084394691</v>
      </c>
    </row>
    <row r="342" ht="14.25" customHeight="1">
      <c r="A342" s="9">
        <v>342.0</v>
      </c>
      <c r="B342" s="9">
        <f t="shared" si="1"/>
        <v>1.152127158</v>
      </c>
      <c r="C342" s="9">
        <f t="shared" si="2"/>
        <v>0.406544925</v>
      </c>
      <c r="D342" s="9">
        <f t="shared" si="3"/>
        <v>0.9136307919</v>
      </c>
    </row>
    <row r="343" ht="14.25" customHeight="1">
      <c r="A343" s="9">
        <v>343.0</v>
      </c>
      <c r="B343" s="9">
        <f t="shared" si="1"/>
        <v>1.164718712</v>
      </c>
      <c r="C343" s="9">
        <f t="shared" si="2"/>
        <v>0.3950089699</v>
      </c>
      <c r="D343" s="9">
        <f t="shared" si="3"/>
        <v>0.9186772631</v>
      </c>
    </row>
    <row r="344" ht="14.25" customHeight="1">
      <c r="A344" s="9">
        <v>344.0</v>
      </c>
      <c r="B344" s="9">
        <f t="shared" si="1"/>
        <v>1.177310266</v>
      </c>
      <c r="C344" s="9">
        <f t="shared" si="2"/>
        <v>0.3834103881</v>
      </c>
      <c r="D344" s="9">
        <f t="shared" si="3"/>
        <v>0.9235780824</v>
      </c>
    </row>
    <row r="345" ht="14.25" customHeight="1">
      <c r="A345" s="9">
        <v>345.0</v>
      </c>
      <c r="B345" s="9">
        <f t="shared" si="1"/>
        <v>1.189901819</v>
      </c>
      <c r="C345" s="9">
        <f t="shared" si="2"/>
        <v>0.3717510185</v>
      </c>
      <c r="D345" s="9">
        <f t="shared" si="3"/>
        <v>0.9283324729</v>
      </c>
    </row>
    <row r="346" ht="14.25" customHeight="1">
      <c r="A346" s="9">
        <v>346.0</v>
      </c>
      <c r="B346" s="9">
        <f t="shared" si="1"/>
        <v>1.202493373</v>
      </c>
      <c r="C346" s="9">
        <f t="shared" si="2"/>
        <v>0.3600327095</v>
      </c>
      <c r="D346" s="9">
        <f t="shared" si="3"/>
        <v>0.9329396808</v>
      </c>
    </row>
    <row r="347" ht="14.25" customHeight="1">
      <c r="A347" s="9">
        <v>347.0</v>
      </c>
      <c r="B347" s="9">
        <f t="shared" si="1"/>
        <v>1.215084927</v>
      </c>
      <c r="C347" s="9">
        <f t="shared" si="2"/>
        <v>0.3482573191</v>
      </c>
      <c r="D347" s="9">
        <f t="shared" si="3"/>
        <v>0.9373989757</v>
      </c>
    </row>
    <row r="348" ht="14.25" customHeight="1">
      <c r="A348" s="9">
        <v>348.0</v>
      </c>
      <c r="B348" s="9">
        <f t="shared" si="1"/>
        <v>1.22767648</v>
      </c>
      <c r="C348" s="9">
        <f t="shared" si="2"/>
        <v>0.3364267142</v>
      </c>
      <c r="D348" s="9">
        <f t="shared" si="3"/>
        <v>0.9417096506</v>
      </c>
    </row>
    <row r="349" ht="14.25" customHeight="1">
      <c r="A349" s="9">
        <v>349.0</v>
      </c>
      <c r="B349" s="9">
        <f t="shared" si="1"/>
        <v>1.240268034</v>
      </c>
      <c r="C349" s="9">
        <f t="shared" si="2"/>
        <v>0.3245427705</v>
      </c>
      <c r="D349" s="9">
        <f t="shared" si="3"/>
        <v>0.9458710219</v>
      </c>
    </row>
    <row r="350" ht="14.25" customHeight="1">
      <c r="A350" s="9">
        <v>350.0</v>
      </c>
      <c r="B350" s="9">
        <f t="shared" si="1"/>
        <v>1.252859588</v>
      </c>
      <c r="C350" s="9">
        <f t="shared" si="2"/>
        <v>0.3126073721</v>
      </c>
      <c r="D350" s="9">
        <f t="shared" si="3"/>
        <v>0.94988243</v>
      </c>
    </row>
    <row r="351" ht="14.25" customHeight="1">
      <c r="A351" s="9">
        <v>351.0</v>
      </c>
      <c r="B351" s="9">
        <f t="shared" si="1"/>
        <v>1.265451141</v>
      </c>
      <c r="C351" s="9">
        <f t="shared" si="2"/>
        <v>0.3006224113</v>
      </c>
      <c r="D351" s="9">
        <f t="shared" si="3"/>
        <v>0.9537432389</v>
      </c>
    </row>
    <row r="352" ht="14.25" customHeight="1">
      <c r="A352" s="9">
        <v>352.0</v>
      </c>
      <c r="B352" s="9">
        <f t="shared" si="1"/>
        <v>1.278042695</v>
      </c>
      <c r="C352" s="9">
        <f t="shared" si="2"/>
        <v>0.2885897884</v>
      </c>
      <c r="D352" s="9">
        <f t="shared" si="3"/>
        <v>0.9574528365</v>
      </c>
    </row>
    <row r="353" ht="14.25" customHeight="1">
      <c r="A353" s="9">
        <v>353.0</v>
      </c>
      <c r="B353" s="9">
        <f t="shared" si="1"/>
        <v>1.290634249</v>
      </c>
      <c r="C353" s="9">
        <f t="shared" si="2"/>
        <v>0.2765114109</v>
      </c>
      <c r="D353" s="9">
        <f t="shared" si="3"/>
        <v>0.9610106345</v>
      </c>
    </row>
    <row r="354" ht="14.25" customHeight="1">
      <c r="A354" s="9">
        <v>354.0</v>
      </c>
      <c r="B354" s="9">
        <f t="shared" si="1"/>
        <v>1.303225803</v>
      </c>
      <c r="C354" s="9">
        <f t="shared" si="2"/>
        <v>0.2643891938</v>
      </c>
      <c r="D354" s="9">
        <f t="shared" si="3"/>
        <v>0.964416069</v>
      </c>
    </row>
    <row r="355" ht="14.25" customHeight="1">
      <c r="A355" s="9">
        <v>355.0</v>
      </c>
      <c r="B355" s="9">
        <f t="shared" si="1"/>
        <v>1.315817356</v>
      </c>
      <c r="C355" s="9">
        <f t="shared" si="2"/>
        <v>0.2522250592</v>
      </c>
      <c r="D355" s="9">
        <f t="shared" si="3"/>
        <v>0.9676686</v>
      </c>
    </row>
    <row r="356" ht="14.25" customHeight="1">
      <c r="A356" s="9">
        <v>356.0</v>
      </c>
      <c r="B356" s="9">
        <f t="shared" si="1"/>
        <v>1.32840891</v>
      </c>
      <c r="C356" s="9">
        <f t="shared" si="2"/>
        <v>0.2400209355</v>
      </c>
      <c r="D356" s="9">
        <f t="shared" si="3"/>
        <v>0.9707677119</v>
      </c>
    </row>
    <row r="357" ht="14.25" customHeight="1">
      <c r="A357" s="9">
        <v>357.0</v>
      </c>
      <c r="B357" s="9">
        <f t="shared" si="1"/>
        <v>1.341000464</v>
      </c>
      <c r="C357" s="9">
        <f t="shared" si="2"/>
        <v>0.2277787576</v>
      </c>
      <c r="D357" s="9">
        <f t="shared" si="3"/>
        <v>0.9737129133</v>
      </c>
    </row>
    <row r="358" ht="14.25" customHeight="1">
      <c r="A358" s="9">
        <v>358.0</v>
      </c>
      <c r="B358" s="9">
        <f t="shared" si="1"/>
        <v>1.353592017</v>
      </c>
      <c r="C358" s="9">
        <f t="shared" si="2"/>
        <v>0.2155004666</v>
      </c>
      <c r="D358" s="9">
        <f t="shared" si="3"/>
        <v>0.9765037373</v>
      </c>
    </row>
    <row r="359" ht="14.25" customHeight="1">
      <c r="A359" s="9">
        <v>359.0</v>
      </c>
      <c r="B359" s="9">
        <f t="shared" si="1"/>
        <v>1.366183571</v>
      </c>
      <c r="C359" s="9">
        <f t="shared" si="2"/>
        <v>0.203188009</v>
      </c>
      <c r="D359" s="9">
        <f t="shared" si="3"/>
        <v>0.9791397413</v>
      </c>
    </row>
    <row r="360" ht="14.25" customHeight="1">
      <c r="A360" s="9">
        <v>360.0</v>
      </c>
      <c r="B360" s="9">
        <f t="shared" si="1"/>
        <v>1.378775125</v>
      </c>
      <c r="C360" s="9">
        <f t="shared" si="2"/>
        <v>0.1908433369</v>
      </c>
      <c r="D360" s="9">
        <f t="shared" si="3"/>
        <v>0.9816205075</v>
      </c>
    </row>
    <row r="361" ht="14.25" customHeight="1">
      <c r="A361" s="9">
        <v>361.0</v>
      </c>
      <c r="B361" s="9">
        <f t="shared" si="1"/>
        <v>1.391366678</v>
      </c>
      <c r="C361" s="9">
        <f t="shared" si="2"/>
        <v>0.1784684075</v>
      </c>
      <c r="D361" s="9">
        <f t="shared" si="3"/>
        <v>0.9839456426</v>
      </c>
    </row>
    <row r="362" ht="14.25" customHeight="1">
      <c r="A362" s="9">
        <v>362.0</v>
      </c>
      <c r="B362" s="9">
        <f t="shared" si="1"/>
        <v>1.403958232</v>
      </c>
      <c r="C362" s="9">
        <f t="shared" si="2"/>
        <v>0.1660651828</v>
      </c>
      <c r="D362" s="9">
        <f t="shared" si="3"/>
        <v>0.9861147778</v>
      </c>
    </row>
    <row r="363" ht="14.25" customHeight="1">
      <c r="A363" s="9">
        <v>363.0</v>
      </c>
      <c r="B363" s="9">
        <f t="shared" si="1"/>
        <v>1.416549786</v>
      </c>
      <c r="C363" s="9">
        <f t="shared" si="2"/>
        <v>0.1536356294</v>
      </c>
      <c r="D363" s="9">
        <f t="shared" si="3"/>
        <v>0.9881275694</v>
      </c>
    </row>
    <row r="364" ht="14.25" customHeight="1">
      <c r="A364" s="9">
        <v>364.0</v>
      </c>
      <c r="B364" s="9">
        <f t="shared" si="1"/>
        <v>1.42914134</v>
      </c>
      <c r="C364" s="9">
        <f t="shared" si="2"/>
        <v>0.1411817177</v>
      </c>
      <c r="D364" s="9">
        <f t="shared" si="3"/>
        <v>0.9899836981</v>
      </c>
    </row>
    <row r="365" ht="14.25" customHeight="1">
      <c r="A365" s="9">
        <v>365.0</v>
      </c>
      <c r="B365" s="9">
        <f t="shared" si="1"/>
        <v>1.441732893</v>
      </c>
      <c r="C365" s="9">
        <f t="shared" si="2"/>
        <v>0.1287054223</v>
      </c>
      <c r="D365" s="9">
        <f t="shared" si="3"/>
        <v>0.9916828698</v>
      </c>
    </row>
    <row r="366" ht="14.25" customHeight="1">
      <c r="A366" s="9">
        <v>366.0</v>
      </c>
      <c r="B366" s="9">
        <f t="shared" si="1"/>
        <v>1.454324447</v>
      </c>
      <c r="C366" s="9">
        <f t="shared" si="2"/>
        <v>0.1162087214</v>
      </c>
      <c r="D366" s="9">
        <f t="shared" si="3"/>
        <v>0.993224815</v>
      </c>
    </row>
    <row r="367" ht="14.25" customHeight="1">
      <c r="A367" s="9">
        <v>367.0</v>
      </c>
      <c r="B367" s="9">
        <f t="shared" si="1"/>
        <v>1.466916001</v>
      </c>
      <c r="C367" s="9">
        <f t="shared" si="2"/>
        <v>0.1036935961</v>
      </c>
      <c r="D367" s="9">
        <f t="shared" si="3"/>
        <v>0.9946092892</v>
      </c>
    </row>
    <row r="368" ht="14.25" customHeight="1">
      <c r="A368" s="9">
        <v>368.0</v>
      </c>
      <c r="B368" s="9">
        <f t="shared" si="1"/>
        <v>1.479507554</v>
      </c>
      <c r="C368" s="9">
        <f t="shared" si="2"/>
        <v>0.09116203069</v>
      </c>
      <c r="D368" s="9">
        <f t="shared" si="3"/>
        <v>0.9958360729</v>
      </c>
    </row>
    <row r="369" ht="14.25" customHeight="1">
      <c r="A369" s="9">
        <v>369.0</v>
      </c>
      <c r="B369" s="9">
        <f t="shared" si="1"/>
        <v>1.492099108</v>
      </c>
      <c r="C369" s="9">
        <f t="shared" si="2"/>
        <v>0.07861601199</v>
      </c>
      <c r="D369" s="9">
        <f t="shared" si="3"/>
        <v>0.9969049717</v>
      </c>
    </row>
    <row r="370" ht="14.25" customHeight="1">
      <c r="A370" s="9">
        <v>370.0</v>
      </c>
      <c r="B370" s="9">
        <f t="shared" si="1"/>
        <v>1.504690662</v>
      </c>
      <c r="C370" s="9">
        <f t="shared" si="2"/>
        <v>0.06605752911</v>
      </c>
      <c r="D370" s="9">
        <f t="shared" si="3"/>
        <v>0.9978158161</v>
      </c>
    </row>
    <row r="371" ht="14.25" customHeight="1">
      <c r="A371" s="9">
        <v>371.0</v>
      </c>
      <c r="B371" s="9">
        <f t="shared" si="1"/>
        <v>1.517282215</v>
      </c>
      <c r="C371" s="9">
        <f t="shared" si="2"/>
        <v>0.05348857312</v>
      </c>
      <c r="D371" s="9">
        <f t="shared" si="3"/>
        <v>0.9985684616</v>
      </c>
    </row>
    <row r="372" ht="14.25" customHeight="1">
      <c r="A372" s="9">
        <v>372.0</v>
      </c>
      <c r="B372" s="9">
        <f t="shared" si="1"/>
        <v>1.529873769</v>
      </c>
      <c r="C372" s="9">
        <f t="shared" si="2"/>
        <v>0.04091113679</v>
      </c>
      <c r="D372" s="9">
        <f t="shared" si="3"/>
        <v>0.999162789</v>
      </c>
    </row>
    <row r="373" ht="14.25" customHeight="1">
      <c r="A373" s="9">
        <v>373.0</v>
      </c>
      <c r="B373" s="9">
        <f t="shared" si="1"/>
        <v>1.542465323</v>
      </c>
      <c r="C373" s="9">
        <f t="shared" si="2"/>
        <v>0.02832721419</v>
      </c>
      <c r="D373" s="9">
        <f t="shared" si="3"/>
        <v>0.9995987039</v>
      </c>
    </row>
    <row r="374" ht="14.25" customHeight="1">
      <c r="A374" s="9">
        <v>374.0</v>
      </c>
      <c r="B374" s="9">
        <f t="shared" si="1"/>
        <v>1.555056877</v>
      </c>
      <c r="C374" s="9">
        <f t="shared" si="2"/>
        <v>0.01573880045</v>
      </c>
      <c r="D374" s="9">
        <f t="shared" si="3"/>
        <v>0.9998761374</v>
      </c>
    </row>
    <row r="375" ht="14.25" customHeight="1">
      <c r="A375" s="9">
        <v>375.0</v>
      </c>
      <c r="B375" s="9">
        <f t="shared" si="1"/>
        <v>1.56764843</v>
      </c>
      <c r="C375" s="9">
        <f t="shared" si="2"/>
        <v>0.003147891396</v>
      </c>
      <c r="D375" s="9">
        <f t="shared" si="3"/>
        <v>0.9999950454</v>
      </c>
    </row>
    <row r="376" ht="14.25" customHeight="1">
      <c r="A376" s="9">
        <v>376.0</v>
      </c>
      <c r="B376" s="9">
        <f t="shared" si="1"/>
        <v>1.580239984</v>
      </c>
      <c r="C376" s="9">
        <f t="shared" si="2"/>
        <v>-0.009443516737</v>
      </c>
      <c r="D376" s="9">
        <f t="shared" si="3"/>
        <v>0.999955409</v>
      </c>
    </row>
    <row r="377" ht="14.25" customHeight="1">
      <c r="A377" s="9">
        <v>377.0</v>
      </c>
      <c r="B377" s="9">
        <f t="shared" si="1"/>
        <v>1.592831538</v>
      </c>
      <c r="C377" s="9">
        <f t="shared" si="2"/>
        <v>-0.02203342765</v>
      </c>
      <c r="D377" s="9">
        <f t="shared" si="3"/>
        <v>0.9997572346</v>
      </c>
    </row>
    <row r="378" ht="14.25" customHeight="1">
      <c r="A378" s="9">
        <v>378.0</v>
      </c>
      <c r="B378" s="9">
        <f t="shared" si="1"/>
        <v>1.605423091</v>
      </c>
      <c r="C378" s="9">
        <f t="shared" si="2"/>
        <v>-0.03461984526</v>
      </c>
      <c r="D378" s="9">
        <f t="shared" si="3"/>
        <v>0.9994005535</v>
      </c>
    </row>
    <row r="379" ht="14.25" customHeight="1">
      <c r="A379" s="9">
        <v>379.0</v>
      </c>
      <c r="B379" s="9">
        <f t="shared" si="1"/>
        <v>1.618014645</v>
      </c>
      <c r="C379" s="9">
        <f t="shared" si="2"/>
        <v>-0.04720077407</v>
      </c>
      <c r="D379" s="9">
        <f t="shared" si="3"/>
        <v>0.9988854223</v>
      </c>
    </row>
    <row r="380" ht="14.25" customHeight="1">
      <c r="A380" s="9">
        <v>380.0</v>
      </c>
      <c r="B380" s="9">
        <f t="shared" si="1"/>
        <v>1.630606199</v>
      </c>
      <c r="C380" s="9">
        <f t="shared" si="2"/>
        <v>-0.05977421943</v>
      </c>
      <c r="D380" s="9">
        <f t="shared" si="3"/>
        <v>0.9982119227</v>
      </c>
    </row>
    <row r="381" ht="14.25" customHeight="1">
      <c r="A381" s="9">
        <v>381.0</v>
      </c>
      <c r="B381" s="9">
        <f t="shared" si="1"/>
        <v>1.643197752</v>
      </c>
      <c r="C381" s="9">
        <f t="shared" si="2"/>
        <v>-0.07233818787</v>
      </c>
      <c r="D381" s="9">
        <f t="shared" si="3"/>
        <v>0.9973801615</v>
      </c>
    </row>
    <row r="382" ht="14.25" customHeight="1">
      <c r="A382" s="9">
        <v>382.0</v>
      </c>
      <c r="B382" s="9">
        <f t="shared" si="1"/>
        <v>1.655789306</v>
      </c>
      <c r="C382" s="9">
        <f t="shared" si="2"/>
        <v>-0.08489068745</v>
      </c>
      <c r="D382" s="9">
        <f t="shared" si="3"/>
        <v>0.9963902705</v>
      </c>
    </row>
    <row r="383" ht="14.25" customHeight="1">
      <c r="A383" s="9">
        <v>383.0</v>
      </c>
      <c r="B383" s="9">
        <f t="shared" si="1"/>
        <v>1.66838086</v>
      </c>
      <c r="C383" s="9">
        <f t="shared" si="2"/>
        <v>-0.09742972802</v>
      </c>
      <c r="D383" s="9">
        <f t="shared" si="3"/>
        <v>0.9952424067</v>
      </c>
    </row>
    <row r="384" ht="14.25" customHeight="1">
      <c r="A384" s="9">
        <v>384.0</v>
      </c>
      <c r="B384" s="9">
        <f t="shared" si="1"/>
        <v>1.680972414</v>
      </c>
      <c r="C384" s="9">
        <f t="shared" si="2"/>
        <v>-0.1099533216</v>
      </c>
      <c r="D384" s="9">
        <f t="shared" si="3"/>
        <v>0.993936752</v>
      </c>
    </row>
    <row r="385" ht="14.25" customHeight="1">
      <c r="A385" s="9">
        <v>385.0</v>
      </c>
      <c r="B385" s="9">
        <f t="shared" si="1"/>
        <v>1.693563967</v>
      </c>
      <c r="C385" s="9">
        <f t="shared" si="2"/>
        <v>-0.1224594826</v>
      </c>
      <c r="D385" s="9">
        <f t="shared" si="3"/>
        <v>0.9924735136</v>
      </c>
    </row>
    <row r="386" ht="14.25" customHeight="1">
      <c r="A386" s="9">
        <v>386.0</v>
      </c>
      <c r="B386" s="9">
        <f t="shared" si="1"/>
        <v>1.706155521</v>
      </c>
      <c r="C386" s="9">
        <f t="shared" si="2"/>
        <v>-0.1349462282</v>
      </c>
      <c r="D386" s="9">
        <f t="shared" si="3"/>
        <v>0.9908529232</v>
      </c>
    </row>
    <row r="387" ht="14.25" customHeight="1">
      <c r="A387" s="9">
        <v>387.0</v>
      </c>
      <c r="B387" s="9">
        <f t="shared" si="1"/>
        <v>1.718747075</v>
      </c>
      <c r="C387" s="9">
        <f t="shared" si="2"/>
        <v>-0.1474115788</v>
      </c>
      <c r="D387" s="9">
        <f t="shared" si="3"/>
        <v>0.989075238</v>
      </c>
    </row>
    <row r="388" ht="14.25" customHeight="1">
      <c r="A388" s="9">
        <v>388.0</v>
      </c>
      <c r="B388" s="9">
        <f t="shared" si="1"/>
        <v>1.731338628</v>
      </c>
      <c r="C388" s="9">
        <f t="shared" si="2"/>
        <v>-0.159853558</v>
      </c>
      <c r="D388" s="9">
        <f t="shared" si="3"/>
        <v>0.9871407397</v>
      </c>
    </row>
    <row r="389" ht="14.25" customHeight="1">
      <c r="A389" s="9">
        <v>389.0</v>
      </c>
      <c r="B389" s="9">
        <f t="shared" si="1"/>
        <v>1.743930182</v>
      </c>
      <c r="C389" s="9">
        <f t="shared" si="2"/>
        <v>-0.1722701932</v>
      </c>
      <c r="D389" s="9">
        <f t="shared" si="3"/>
        <v>0.9850497351</v>
      </c>
    </row>
    <row r="390" ht="14.25" customHeight="1">
      <c r="A390" s="9">
        <v>390.0</v>
      </c>
      <c r="B390" s="9">
        <f t="shared" si="1"/>
        <v>1.756521736</v>
      </c>
      <c r="C390" s="9">
        <f t="shared" si="2"/>
        <v>-0.1846595158</v>
      </c>
      <c r="D390" s="9">
        <f t="shared" si="3"/>
        <v>0.9828025556</v>
      </c>
    </row>
    <row r="391" ht="14.25" customHeight="1">
      <c r="A391" s="9">
        <v>391.0</v>
      </c>
      <c r="B391" s="9">
        <f t="shared" si="1"/>
        <v>1.769113289</v>
      </c>
      <c r="C391" s="9">
        <f t="shared" si="2"/>
        <v>-0.1970195615</v>
      </c>
      <c r="D391" s="9">
        <f t="shared" si="3"/>
        <v>0.9803995575</v>
      </c>
    </row>
    <row r="392" ht="14.25" customHeight="1">
      <c r="A392" s="9">
        <v>392.0</v>
      </c>
      <c r="B392" s="9">
        <f t="shared" si="1"/>
        <v>1.781704843</v>
      </c>
      <c r="C392" s="9">
        <f t="shared" si="2"/>
        <v>-0.2093483707</v>
      </c>
      <c r="D392" s="9">
        <f t="shared" si="3"/>
        <v>0.9778411219</v>
      </c>
    </row>
    <row r="393" ht="14.25" customHeight="1">
      <c r="A393" s="9">
        <v>393.0</v>
      </c>
      <c r="B393" s="9">
        <f t="shared" si="1"/>
        <v>1.794296397</v>
      </c>
      <c r="C393" s="9">
        <f t="shared" si="2"/>
        <v>-0.2216439888</v>
      </c>
      <c r="D393" s="9">
        <f t="shared" si="3"/>
        <v>0.9751276543</v>
      </c>
    </row>
    <row r="394" ht="14.25" customHeight="1">
      <c r="A394" s="9">
        <v>394.0</v>
      </c>
      <c r="B394" s="9">
        <f t="shared" si="1"/>
        <v>1.806887951</v>
      </c>
      <c r="C394" s="9">
        <f t="shared" si="2"/>
        <v>-0.2339044663</v>
      </c>
      <c r="D394" s="9">
        <f t="shared" si="3"/>
        <v>0.972259585</v>
      </c>
    </row>
    <row r="395" ht="14.25" customHeight="1">
      <c r="A395" s="9">
        <v>395.0</v>
      </c>
      <c r="B395" s="9">
        <f t="shared" si="1"/>
        <v>1.819479504</v>
      </c>
      <c r="C395" s="9">
        <f t="shared" si="2"/>
        <v>-0.2461278594</v>
      </c>
      <c r="D395" s="9">
        <f t="shared" si="3"/>
        <v>0.9692373687</v>
      </c>
    </row>
    <row r="396" ht="14.25" customHeight="1">
      <c r="A396" s="9">
        <v>396.0</v>
      </c>
      <c r="B396" s="9">
        <f t="shared" si="1"/>
        <v>1.832071058</v>
      </c>
      <c r="C396" s="9">
        <f t="shared" si="2"/>
        <v>-0.2583122301</v>
      </c>
      <c r="D396" s="9">
        <f t="shared" si="3"/>
        <v>0.9660614845</v>
      </c>
    </row>
    <row r="397" ht="14.25" customHeight="1">
      <c r="A397" s="9">
        <v>397.0</v>
      </c>
      <c r="B397" s="9">
        <f t="shared" si="1"/>
        <v>1.844662612</v>
      </c>
      <c r="C397" s="9">
        <f t="shared" si="2"/>
        <v>-0.2704556466</v>
      </c>
      <c r="D397" s="9">
        <f t="shared" si="3"/>
        <v>0.9627324359</v>
      </c>
    </row>
    <row r="398" ht="14.25" customHeight="1">
      <c r="A398" s="9">
        <v>398.0</v>
      </c>
      <c r="B398" s="9">
        <f t="shared" si="1"/>
        <v>1.857254165</v>
      </c>
      <c r="C398" s="9">
        <f t="shared" si="2"/>
        <v>-0.2825561837</v>
      </c>
      <c r="D398" s="9">
        <f t="shared" si="3"/>
        <v>0.9592507509</v>
      </c>
    </row>
    <row r="399" ht="14.25" customHeight="1">
      <c r="A399" s="9">
        <v>399.0</v>
      </c>
      <c r="B399" s="9">
        <f t="shared" si="1"/>
        <v>1.869845719</v>
      </c>
      <c r="C399" s="9">
        <f t="shared" si="2"/>
        <v>-0.294611923</v>
      </c>
      <c r="D399" s="9">
        <f t="shared" si="3"/>
        <v>0.9556169812</v>
      </c>
    </row>
    <row r="400" ht="14.25" customHeight="1">
      <c r="A400" s="9">
        <v>400.0</v>
      </c>
      <c r="B400" s="9">
        <f t="shared" si="1"/>
        <v>1.882437273</v>
      </c>
      <c r="C400" s="9">
        <f t="shared" si="2"/>
        <v>-0.3066209529</v>
      </c>
      <c r="D400" s="9">
        <f t="shared" si="3"/>
        <v>0.9518317032</v>
      </c>
    </row>
    <row r="401" ht="14.25" customHeight="1">
      <c r="A401" s="9">
        <v>401.0</v>
      </c>
      <c r="B401" s="9">
        <f t="shared" si="1"/>
        <v>1.895028826</v>
      </c>
      <c r="C401" s="9">
        <f t="shared" si="2"/>
        <v>-0.3185813696</v>
      </c>
      <c r="D401" s="9">
        <f t="shared" si="3"/>
        <v>0.9478955169</v>
      </c>
    </row>
    <row r="402" ht="14.25" customHeight="1">
      <c r="A402" s="9">
        <v>402.0</v>
      </c>
      <c r="B402" s="9">
        <f t="shared" si="1"/>
        <v>1.90762038</v>
      </c>
      <c r="C402" s="9">
        <f t="shared" si="2"/>
        <v>-0.3304912767</v>
      </c>
      <c r="D402" s="9">
        <f t="shared" si="3"/>
        <v>0.9438090464</v>
      </c>
    </row>
    <row r="403" ht="14.25" customHeight="1">
      <c r="A403" s="9">
        <v>403.0</v>
      </c>
      <c r="B403" s="9">
        <f t="shared" si="1"/>
        <v>1.920211934</v>
      </c>
      <c r="C403" s="9">
        <f t="shared" si="2"/>
        <v>-0.3423487861</v>
      </c>
      <c r="D403" s="9">
        <f t="shared" si="3"/>
        <v>0.9395729395</v>
      </c>
    </row>
    <row r="404" ht="14.25" customHeight="1">
      <c r="A404" s="9">
        <v>404.0</v>
      </c>
      <c r="B404" s="9">
        <f t="shared" si="1"/>
        <v>1.932803488</v>
      </c>
      <c r="C404" s="9">
        <f t="shared" si="2"/>
        <v>-0.3541520177</v>
      </c>
      <c r="D404" s="9">
        <f t="shared" si="3"/>
        <v>0.9351878679</v>
      </c>
    </row>
    <row r="405" ht="14.25" customHeight="1">
      <c r="A405" s="9">
        <v>405.0</v>
      </c>
      <c r="B405" s="9">
        <f t="shared" si="1"/>
        <v>1.945395041</v>
      </c>
      <c r="C405" s="9">
        <f t="shared" si="2"/>
        <v>-0.3658991003</v>
      </c>
      <c r="D405" s="9">
        <f t="shared" si="3"/>
        <v>0.9306545269</v>
      </c>
    </row>
    <row r="406" ht="14.25" customHeight="1">
      <c r="A406" s="9">
        <v>406.0</v>
      </c>
      <c r="B406" s="9">
        <f t="shared" si="1"/>
        <v>1.957986595</v>
      </c>
      <c r="C406" s="9">
        <f t="shared" si="2"/>
        <v>-0.3775881713</v>
      </c>
      <c r="D406" s="9">
        <f t="shared" si="3"/>
        <v>0.9259736351</v>
      </c>
    </row>
    <row r="407" ht="14.25" customHeight="1">
      <c r="A407" s="9">
        <v>407.0</v>
      </c>
      <c r="B407" s="9">
        <f t="shared" si="1"/>
        <v>1.970578149</v>
      </c>
      <c r="C407" s="9">
        <f t="shared" si="2"/>
        <v>-0.3892173776</v>
      </c>
      <c r="D407" s="9">
        <f t="shared" si="3"/>
        <v>0.9211459347</v>
      </c>
    </row>
    <row r="408" ht="14.25" customHeight="1">
      <c r="A408" s="9">
        <v>408.0</v>
      </c>
      <c r="B408" s="9">
        <f t="shared" si="1"/>
        <v>1.983169702</v>
      </c>
      <c r="C408" s="9">
        <f t="shared" si="2"/>
        <v>-0.4007848754</v>
      </c>
      <c r="D408" s="9">
        <f t="shared" si="3"/>
        <v>0.9161721911</v>
      </c>
    </row>
    <row r="409" ht="14.25" customHeight="1">
      <c r="A409" s="9">
        <v>409.0</v>
      </c>
      <c r="B409" s="9">
        <f t="shared" si="1"/>
        <v>1.995761256</v>
      </c>
      <c r="C409" s="9">
        <f t="shared" si="2"/>
        <v>-0.4122888306</v>
      </c>
      <c r="D409" s="9">
        <f t="shared" si="3"/>
        <v>0.9110531928</v>
      </c>
    </row>
    <row r="410" ht="14.25" customHeight="1">
      <c r="A410" s="9">
        <v>410.0</v>
      </c>
      <c r="B410" s="9">
        <f t="shared" si="1"/>
        <v>2.00835281</v>
      </c>
      <c r="C410" s="9">
        <f t="shared" si="2"/>
        <v>-0.4237274195</v>
      </c>
      <c r="D410" s="9">
        <f t="shared" si="3"/>
        <v>0.9057897515</v>
      </c>
    </row>
    <row r="411" ht="14.25" customHeight="1">
      <c r="A411" s="9">
        <v>411.0</v>
      </c>
      <c r="B411" s="9">
        <f t="shared" si="1"/>
        <v>2.020944363</v>
      </c>
      <c r="C411" s="9">
        <f t="shared" si="2"/>
        <v>-0.4350988285</v>
      </c>
      <c r="D411" s="9">
        <f t="shared" si="3"/>
        <v>0.9003827017</v>
      </c>
    </row>
    <row r="412" ht="14.25" customHeight="1">
      <c r="A412" s="9">
        <v>412.0</v>
      </c>
      <c r="B412" s="9">
        <f t="shared" si="1"/>
        <v>2.033535917</v>
      </c>
      <c r="C412" s="9">
        <f t="shared" si="2"/>
        <v>-0.4464012546</v>
      </c>
      <c r="D412" s="9">
        <f t="shared" si="3"/>
        <v>0.8948329005</v>
      </c>
    </row>
    <row r="413" ht="14.25" customHeight="1">
      <c r="A413" s="9">
        <v>413.0</v>
      </c>
      <c r="B413" s="9">
        <f t="shared" si="1"/>
        <v>2.046127471</v>
      </c>
      <c r="C413" s="9">
        <f t="shared" si="2"/>
        <v>-0.4576329061</v>
      </c>
      <c r="D413" s="9">
        <f t="shared" si="3"/>
        <v>0.889141228</v>
      </c>
    </row>
    <row r="414" ht="14.25" customHeight="1">
      <c r="A414" s="9">
        <v>414.0</v>
      </c>
      <c r="B414" s="9">
        <f t="shared" si="1"/>
        <v>2.058719025</v>
      </c>
      <c r="C414" s="9">
        <f t="shared" si="2"/>
        <v>-0.468792002</v>
      </c>
      <c r="D414" s="9">
        <f t="shared" si="3"/>
        <v>0.8833085864</v>
      </c>
    </row>
    <row r="415" ht="14.25" customHeight="1">
      <c r="A415" s="9">
        <v>415.0</v>
      </c>
      <c r="B415" s="9">
        <f t="shared" si="1"/>
        <v>2.071310578</v>
      </c>
      <c r="C415" s="9">
        <f t="shared" si="2"/>
        <v>-0.4798767733</v>
      </c>
      <c r="D415" s="9">
        <f t="shared" si="3"/>
        <v>0.8773359006</v>
      </c>
    </row>
    <row r="416" ht="14.25" customHeight="1">
      <c r="A416" s="9">
        <v>416.0</v>
      </c>
      <c r="B416" s="9">
        <f t="shared" si="1"/>
        <v>2.083902132</v>
      </c>
      <c r="C416" s="9">
        <f t="shared" si="2"/>
        <v>-0.4908854624</v>
      </c>
      <c r="D416" s="9">
        <f t="shared" si="3"/>
        <v>0.8712241174</v>
      </c>
    </row>
    <row r="417" ht="14.25" customHeight="1">
      <c r="A417" s="9">
        <v>417.0</v>
      </c>
      <c r="B417" s="9">
        <f t="shared" si="1"/>
        <v>2.096493686</v>
      </c>
      <c r="C417" s="9">
        <f t="shared" si="2"/>
        <v>-0.501816324</v>
      </c>
      <c r="D417" s="9">
        <f t="shared" si="3"/>
        <v>0.8649742059</v>
      </c>
    </row>
    <row r="418" ht="14.25" customHeight="1">
      <c r="A418" s="9">
        <v>418.0</v>
      </c>
      <c r="B418" s="9">
        <f t="shared" si="1"/>
        <v>2.109085239</v>
      </c>
      <c r="C418" s="9">
        <f t="shared" si="2"/>
        <v>-0.5126676251</v>
      </c>
      <c r="D418" s="9">
        <f t="shared" si="3"/>
        <v>0.858587157</v>
      </c>
    </row>
    <row r="419" ht="14.25" customHeight="1">
      <c r="A419" s="9">
        <v>419.0</v>
      </c>
      <c r="B419" s="9">
        <f t="shared" si="1"/>
        <v>2.121676793</v>
      </c>
      <c r="C419" s="9">
        <f t="shared" si="2"/>
        <v>-0.5234376453</v>
      </c>
      <c r="D419" s="9">
        <f t="shared" si="3"/>
        <v>0.8520639832</v>
      </c>
    </row>
    <row r="420" ht="14.25" customHeight="1">
      <c r="A420" s="9">
        <v>420.0</v>
      </c>
      <c r="B420" s="9">
        <f t="shared" si="1"/>
        <v>2.134268347</v>
      </c>
      <c r="C420" s="9">
        <f t="shared" si="2"/>
        <v>-0.5341246769</v>
      </c>
      <c r="D420" s="9">
        <f t="shared" si="3"/>
        <v>0.8454057189</v>
      </c>
    </row>
    <row r="421" ht="14.25" customHeight="1">
      <c r="A421" s="9">
        <v>421.0</v>
      </c>
      <c r="B421" s="9">
        <f t="shared" si="1"/>
        <v>2.1468599</v>
      </c>
      <c r="C421" s="9">
        <f t="shared" si="2"/>
        <v>-0.5447270257</v>
      </c>
      <c r="D421" s="9">
        <f t="shared" si="3"/>
        <v>0.8386134196</v>
      </c>
    </row>
    <row r="422" ht="14.25" customHeight="1">
      <c r="A422" s="9">
        <v>422.0</v>
      </c>
      <c r="B422" s="9">
        <f t="shared" si="1"/>
        <v>2.159451454</v>
      </c>
      <c r="C422" s="9">
        <f t="shared" si="2"/>
        <v>-0.5552430107</v>
      </c>
      <c r="D422" s="9">
        <f t="shared" si="3"/>
        <v>0.8316881622</v>
      </c>
    </row>
    <row r="423" ht="14.25" customHeight="1">
      <c r="A423" s="9">
        <v>423.0</v>
      </c>
      <c r="B423" s="9">
        <f t="shared" si="1"/>
        <v>2.172043008</v>
      </c>
      <c r="C423" s="9">
        <f t="shared" si="2"/>
        <v>-0.5656709646</v>
      </c>
      <c r="D423" s="9">
        <f t="shared" si="3"/>
        <v>0.8246310447</v>
      </c>
    </row>
    <row r="424" ht="14.25" customHeight="1">
      <c r="A424" s="9">
        <v>424.0</v>
      </c>
      <c r="B424" s="9">
        <f t="shared" si="1"/>
        <v>2.184634562</v>
      </c>
      <c r="C424" s="9">
        <f t="shared" si="2"/>
        <v>-0.5760092341</v>
      </c>
      <c r="D424" s="9">
        <f t="shared" si="3"/>
        <v>0.8174431859</v>
      </c>
    </row>
    <row r="425" ht="14.25" customHeight="1">
      <c r="A425" s="9">
        <v>425.0</v>
      </c>
      <c r="B425" s="9">
        <f t="shared" si="1"/>
        <v>2.197226115</v>
      </c>
      <c r="C425" s="9">
        <f t="shared" si="2"/>
        <v>-0.5862561802</v>
      </c>
      <c r="D425" s="9">
        <f t="shared" si="3"/>
        <v>0.8101257256</v>
      </c>
    </row>
    <row r="426" ht="14.25" customHeight="1">
      <c r="A426" s="9">
        <v>426.0</v>
      </c>
      <c r="B426" s="9">
        <f t="shared" si="1"/>
        <v>2.209817669</v>
      </c>
      <c r="C426" s="9">
        <f t="shared" si="2"/>
        <v>-0.5964101782</v>
      </c>
      <c r="D426" s="9">
        <f t="shared" si="3"/>
        <v>0.8026798237</v>
      </c>
    </row>
    <row r="427" ht="14.25" customHeight="1">
      <c r="A427" s="9">
        <v>427.0</v>
      </c>
      <c r="B427" s="9">
        <f t="shared" si="1"/>
        <v>2.222409223</v>
      </c>
      <c r="C427" s="9">
        <f t="shared" si="2"/>
        <v>-0.6064696182</v>
      </c>
      <c r="D427" s="9">
        <f t="shared" si="3"/>
        <v>0.7951066609</v>
      </c>
    </row>
    <row r="428" ht="14.25" customHeight="1">
      <c r="A428" s="9">
        <v>428.0</v>
      </c>
      <c r="B428" s="9">
        <f t="shared" si="1"/>
        <v>2.235000776</v>
      </c>
      <c r="C428" s="9">
        <f t="shared" si="2"/>
        <v>-0.6164329055</v>
      </c>
      <c r="D428" s="9">
        <f t="shared" si="3"/>
        <v>0.7874074378</v>
      </c>
    </row>
    <row r="429" ht="14.25" customHeight="1">
      <c r="A429" s="9">
        <v>429.0</v>
      </c>
      <c r="B429" s="9">
        <f t="shared" si="1"/>
        <v>2.24759233</v>
      </c>
      <c r="C429" s="9">
        <f t="shared" si="2"/>
        <v>-0.6262984603</v>
      </c>
      <c r="D429" s="9">
        <f t="shared" si="3"/>
        <v>0.779583375</v>
      </c>
    </row>
    <row r="430" ht="14.25" customHeight="1">
      <c r="A430" s="9">
        <v>430.0</v>
      </c>
      <c r="B430" s="9">
        <f t="shared" si="1"/>
        <v>2.260183884</v>
      </c>
      <c r="C430" s="9">
        <f t="shared" si="2"/>
        <v>-0.6360647186</v>
      </c>
      <c r="D430" s="9">
        <f t="shared" si="3"/>
        <v>0.7716357131</v>
      </c>
    </row>
    <row r="431" ht="14.25" customHeight="1">
      <c r="A431" s="9">
        <v>431.0</v>
      </c>
      <c r="B431" s="9">
        <f t="shared" si="1"/>
        <v>2.272775437</v>
      </c>
      <c r="C431" s="9">
        <f t="shared" si="2"/>
        <v>-0.6457301319</v>
      </c>
      <c r="D431" s="9">
        <f t="shared" si="3"/>
        <v>0.7635657122</v>
      </c>
    </row>
    <row r="432" ht="14.25" customHeight="1">
      <c r="A432" s="9">
        <v>432.0</v>
      </c>
      <c r="B432" s="9">
        <f t="shared" si="1"/>
        <v>2.285366991</v>
      </c>
      <c r="C432" s="9">
        <f t="shared" si="2"/>
        <v>-0.6552931678</v>
      </c>
      <c r="D432" s="9">
        <f t="shared" si="3"/>
        <v>0.7553746516</v>
      </c>
    </row>
    <row r="433" ht="14.25" customHeight="1">
      <c r="A433" s="9">
        <v>433.0</v>
      </c>
      <c r="B433" s="9">
        <f t="shared" si="1"/>
        <v>2.297958545</v>
      </c>
      <c r="C433" s="9">
        <f t="shared" si="2"/>
        <v>-0.6647523102</v>
      </c>
      <c r="D433" s="9">
        <f t="shared" si="3"/>
        <v>0.74706383</v>
      </c>
    </row>
    <row r="434" ht="14.25" customHeight="1">
      <c r="A434" s="9">
        <v>434.0</v>
      </c>
      <c r="B434" s="9">
        <f t="shared" si="1"/>
        <v>2.310550099</v>
      </c>
      <c r="C434" s="9">
        <f t="shared" si="2"/>
        <v>-0.6741060593</v>
      </c>
      <c r="D434" s="9">
        <f t="shared" si="3"/>
        <v>0.7386345651</v>
      </c>
    </row>
    <row r="435" ht="14.25" customHeight="1">
      <c r="A435" s="9">
        <v>435.0</v>
      </c>
      <c r="B435" s="9">
        <f t="shared" si="1"/>
        <v>2.323141652</v>
      </c>
      <c r="C435" s="9">
        <f t="shared" si="2"/>
        <v>-0.6833529322</v>
      </c>
      <c r="D435" s="9">
        <f t="shared" si="3"/>
        <v>0.7300881933</v>
      </c>
    </row>
    <row r="436" ht="14.25" customHeight="1">
      <c r="A436" s="9">
        <v>436.0</v>
      </c>
      <c r="B436" s="9">
        <f t="shared" si="1"/>
        <v>2.335733206</v>
      </c>
      <c r="C436" s="9">
        <f t="shared" si="2"/>
        <v>-0.6924914629</v>
      </c>
      <c r="D436" s="9">
        <f t="shared" si="3"/>
        <v>0.7214260696</v>
      </c>
    </row>
    <row r="437" ht="14.25" customHeight="1">
      <c r="A437" s="9">
        <v>437.0</v>
      </c>
      <c r="B437" s="9">
        <f t="shared" si="1"/>
        <v>2.34832476</v>
      </c>
      <c r="C437" s="9">
        <f t="shared" si="2"/>
        <v>-0.7015202024</v>
      </c>
      <c r="D437" s="9">
        <f t="shared" si="3"/>
        <v>0.7126495672</v>
      </c>
    </row>
    <row r="438" ht="14.25" customHeight="1">
      <c r="A438" s="9">
        <v>438.0</v>
      </c>
      <c r="B438" s="9">
        <f t="shared" si="1"/>
        <v>2.360916313</v>
      </c>
      <c r="C438" s="9">
        <f t="shared" si="2"/>
        <v>-0.7104377192</v>
      </c>
      <c r="D438" s="9">
        <f t="shared" si="3"/>
        <v>0.7037600778</v>
      </c>
    </row>
    <row r="439" ht="14.25" customHeight="1">
      <c r="A439" s="9">
        <v>439.0</v>
      </c>
      <c r="B439" s="9">
        <f t="shared" si="1"/>
        <v>2.373507867</v>
      </c>
      <c r="C439" s="9">
        <f t="shared" si="2"/>
        <v>-0.7192425997</v>
      </c>
      <c r="D439" s="9">
        <f t="shared" si="3"/>
        <v>0.6947590106</v>
      </c>
    </row>
    <row r="440" ht="14.25" customHeight="1">
      <c r="A440" s="9">
        <v>440.0</v>
      </c>
      <c r="B440" s="9">
        <f t="shared" si="1"/>
        <v>2.386099421</v>
      </c>
      <c r="C440" s="9">
        <f t="shared" si="2"/>
        <v>-0.7279334477</v>
      </c>
      <c r="D440" s="9">
        <f t="shared" si="3"/>
        <v>0.6856477928</v>
      </c>
    </row>
    <row r="441" ht="14.25" customHeight="1">
      <c r="A441" s="9">
        <v>441.0</v>
      </c>
      <c r="B441" s="9">
        <f t="shared" si="1"/>
        <v>2.398690974</v>
      </c>
      <c r="C441" s="9">
        <f t="shared" si="2"/>
        <v>-0.7365088854</v>
      </c>
      <c r="D441" s="9">
        <f t="shared" si="3"/>
        <v>0.6764278688</v>
      </c>
    </row>
    <row r="442" ht="14.25" customHeight="1">
      <c r="A442" s="9">
        <v>442.0</v>
      </c>
      <c r="B442" s="9">
        <f t="shared" si="1"/>
        <v>2.411282528</v>
      </c>
      <c r="C442" s="9">
        <f t="shared" si="2"/>
        <v>-0.7449675532</v>
      </c>
      <c r="D442" s="9">
        <f t="shared" si="3"/>
        <v>0.6671007005</v>
      </c>
    </row>
    <row r="443" ht="14.25" customHeight="1">
      <c r="A443" s="9">
        <v>443.0</v>
      </c>
      <c r="B443" s="9">
        <f t="shared" si="1"/>
        <v>2.423874082</v>
      </c>
      <c r="C443" s="9">
        <f t="shared" si="2"/>
        <v>-0.7533081101</v>
      </c>
      <c r="D443" s="9">
        <f t="shared" si="3"/>
        <v>0.6576677666</v>
      </c>
    </row>
    <row r="444" ht="14.25" customHeight="1">
      <c r="A444" s="9">
        <v>444.0</v>
      </c>
      <c r="B444" s="9">
        <f t="shared" si="1"/>
        <v>2.436465636</v>
      </c>
      <c r="C444" s="9">
        <f t="shared" si="2"/>
        <v>-0.7615292336</v>
      </c>
      <c r="D444" s="9">
        <f t="shared" si="3"/>
        <v>0.6481305628</v>
      </c>
    </row>
    <row r="445" ht="14.25" customHeight="1">
      <c r="A445" s="9">
        <v>445.0</v>
      </c>
      <c r="B445" s="9">
        <f t="shared" si="1"/>
        <v>2.449057189</v>
      </c>
      <c r="C445" s="9">
        <f t="shared" si="2"/>
        <v>-0.7696296204</v>
      </c>
      <c r="D445" s="9">
        <f t="shared" si="3"/>
        <v>0.6384906009</v>
      </c>
    </row>
    <row r="446" ht="14.25" customHeight="1">
      <c r="A446" s="9">
        <v>446.0</v>
      </c>
      <c r="B446" s="9">
        <f t="shared" si="1"/>
        <v>2.461648743</v>
      </c>
      <c r="C446" s="9">
        <f t="shared" si="2"/>
        <v>-0.7776079861</v>
      </c>
      <c r="D446" s="9">
        <f t="shared" si="3"/>
        <v>0.6287494095</v>
      </c>
    </row>
    <row r="447" ht="14.25" customHeight="1">
      <c r="A447" s="9">
        <v>447.0</v>
      </c>
      <c r="B447" s="9">
        <f t="shared" si="1"/>
        <v>2.474240297</v>
      </c>
      <c r="C447" s="9">
        <f t="shared" si="2"/>
        <v>-0.7854630659</v>
      </c>
      <c r="D447" s="9">
        <f t="shared" si="3"/>
        <v>0.6189085329</v>
      </c>
    </row>
    <row r="448" ht="14.25" customHeight="1">
      <c r="A448" s="9">
        <v>448.0</v>
      </c>
      <c r="B448" s="9">
        <f t="shared" si="1"/>
        <v>2.48683185</v>
      </c>
      <c r="C448" s="9">
        <f t="shared" si="2"/>
        <v>-0.7931936143</v>
      </c>
      <c r="D448" s="9">
        <f t="shared" si="3"/>
        <v>0.6089695314</v>
      </c>
    </row>
    <row r="449" ht="14.25" customHeight="1">
      <c r="A449" s="9">
        <v>449.0</v>
      </c>
      <c r="B449" s="9">
        <f t="shared" si="1"/>
        <v>2.499423404</v>
      </c>
      <c r="C449" s="9">
        <f t="shared" si="2"/>
        <v>-0.8007984057</v>
      </c>
      <c r="D449" s="9">
        <f t="shared" si="3"/>
        <v>0.5989339808</v>
      </c>
    </row>
    <row r="450" ht="14.25" customHeight="1">
      <c r="A450" s="9">
        <v>450.0</v>
      </c>
      <c r="B450" s="9">
        <f t="shared" si="1"/>
        <v>2.512014958</v>
      </c>
      <c r="C450" s="9">
        <f t="shared" si="2"/>
        <v>-0.8082762345</v>
      </c>
      <c r="D450" s="9">
        <f t="shared" si="3"/>
        <v>0.5888034721</v>
      </c>
    </row>
    <row r="451" ht="14.25" customHeight="1">
      <c r="A451" s="9">
        <v>451.0</v>
      </c>
      <c r="B451" s="9">
        <f t="shared" si="1"/>
        <v>2.524606511</v>
      </c>
      <c r="C451" s="9">
        <f t="shared" si="2"/>
        <v>-0.815625915</v>
      </c>
      <c r="D451" s="9">
        <f t="shared" si="3"/>
        <v>0.5785796114</v>
      </c>
    </row>
    <row r="452" ht="14.25" customHeight="1">
      <c r="A452" s="9">
        <v>452.0</v>
      </c>
      <c r="B452" s="9">
        <f t="shared" si="1"/>
        <v>2.537198065</v>
      </c>
      <c r="C452" s="9">
        <f t="shared" si="2"/>
        <v>-0.822846282</v>
      </c>
      <c r="D452" s="9">
        <f t="shared" si="3"/>
        <v>0.5682640198</v>
      </c>
    </row>
    <row r="453" ht="14.25" customHeight="1">
      <c r="A453" s="9">
        <v>453.0</v>
      </c>
      <c r="B453" s="9">
        <f t="shared" si="1"/>
        <v>2.549789619</v>
      </c>
      <c r="C453" s="9">
        <f t="shared" si="2"/>
        <v>-0.8299361907</v>
      </c>
      <c r="D453" s="9">
        <f t="shared" si="3"/>
        <v>0.5578583327</v>
      </c>
    </row>
    <row r="454" ht="14.25" customHeight="1">
      <c r="A454" s="9">
        <v>454.0</v>
      </c>
      <c r="B454" s="9">
        <f t="shared" si="1"/>
        <v>2.562381173</v>
      </c>
      <c r="C454" s="9">
        <f t="shared" si="2"/>
        <v>-0.8368945171</v>
      </c>
      <c r="D454" s="9">
        <f t="shared" si="3"/>
        <v>0.5473641999</v>
      </c>
    </row>
    <row r="455" ht="14.25" customHeight="1">
      <c r="A455" s="9">
        <v>455.0</v>
      </c>
      <c r="B455" s="9">
        <f t="shared" si="1"/>
        <v>2.574972726</v>
      </c>
      <c r="C455" s="9">
        <f t="shared" si="2"/>
        <v>-0.8437201579</v>
      </c>
      <c r="D455" s="9">
        <f t="shared" si="3"/>
        <v>0.5367832851</v>
      </c>
    </row>
    <row r="456" ht="14.25" customHeight="1">
      <c r="A456" s="9">
        <v>456.0</v>
      </c>
      <c r="B456" s="9">
        <f t="shared" si="1"/>
        <v>2.58756428</v>
      </c>
      <c r="C456" s="9">
        <f t="shared" si="2"/>
        <v>-0.850412031</v>
      </c>
      <c r="D456" s="9">
        <f t="shared" si="3"/>
        <v>0.526117266</v>
      </c>
    </row>
    <row r="457" ht="14.25" customHeight="1">
      <c r="A457" s="9">
        <v>457.0</v>
      </c>
      <c r="B457" s="9">
        <f t="shared" si="1"/>
        <v>2.600155834</v>
      </c>
      <c r="C457" s="9">
        <f t="shared" si="2"/>
        <v>-0.8569690754</v>
      </c>
      <c r="D457" s="9">
        <f t="shared" si="3"/>
        <v>0.5153678335</v>
      </c>
    </row>
    <row r="458" ht="14.25" customHeight="1">
      <c r="A458" s="9">
        <v>458.0</v>
      </c>
      <c r="B458" s="9">
        <f t="shared" si="1"/>
        <v>2.612747387</v>
      </c>
      <c r="C458" s="9">
        <f t="shared" si="2"/>
        <v>-0.8633902515</v>
      </c>
      <c r="D458" s="9">
        <f t="shared" si="3"/>
        <v>0.504536692</v>
      </c>
    </row>
    <row r="459" ht="14.25" customHeight="1">
      <c r="A459" s="9">
        <v>459.0</v>
      </c>
      <c r="B459" s="9">
        <f t="shared" si="1"/>
        <v>2.625338941</v>
      </c>
      <c r="C459" s="9">
        <f t="shared" si="2"/>
        <v>-0.8696745414</v>
      </c>
      <c r="D459" s="9">
        <f t="shared" si="3"/>
        <v>0.4936255586</v>
      </c>
    </row>
    <row r="460" ht="14.25" customHeight="1">
      <c r="A460" s="9">
        <v>460.0</v>
      </c>
      <c r="B460" s="9">
        <f t="shared" si="1"/>
        <v>2.637930495</v>
      </c>
      <c r="C460" s="9">
        <f t="shared" si="2"/>
        <v>-0.8758209485</v>
      </c>
      <c r="D460" s="9">
        <f t="shared" si="3"/>
        <v>0.4826361633</v>
      </c>
    </row>
    <row r="461" ht="14.25" customHeight="1">
      <c r="A461" s="9">
        <v>461.0</v>
      </c>
      <c r="B461" s="9">
        <f t="shared" si="1"/>
        <v>2.650522048</v>
      </c>
      <c r="C461" s="9">
        <f t="shared" si="2"/>
        <v>-0.8818284985</v>
      </c>
      <c r="D461" s="9">
        <f t="shared" si="3"/>
        <v>0.4715702484</v>
      </c>
    </row>
    <row r="462" ht="14.25" customHeight="1">
      <c r="A462" s="9">
        <v>462.0</v>
      </c>
      <c r="B462" s="9">
        <f t="shared" si="1"/>
        <v>2.663113602</v>
      </c>
      <c r="C462" s="9">
        <f t="shared" si="2"/>
        <v>-0.8876962389</v>
      </c>
      <c r="D462" s="9">
        <f t="shared" si="3"/>
        <v>0.4604295683</v>
      </c>
    </row>
    <row r="463" ht="14.25" customHeight="1">
      <c r="A463" s="9">
        <v>463.0</v>
      </c>
      <c r="B463" s="9">
        <f t="shared" si="1"/>
        <v>2.675705156</v>
      </c>
      <c r="C463" s="9">
        <f t="shared" si="2"/>
        <v>-0.8934232394</v>
      </c>
      <c r="D463" s="9">
        <f t="shared" si="3"/>
        <v>0.4492158894</v>
      </c>
    </row>
    <row r="464" ht="14.25" customHeight="1">
      <c r="A464" s="9">
        <v>464.0</v>
      </c>
      <c r="B464" s="9">
        <f t="shared" si="1"/>
        <v>2.68829671</v>
      </c>
      <c r="C464" s="9">
        <f t="shared" si="2"/>
        <v>-0.899008592</v>
      </c>
      <c r="D464" s="9">
        <f t="shared" si="3"/>
        <v>0.4379309895</v>
      </c>
    </row>
    <row r="465" ht="14.25" customHeight="1">
      <c r="A465" s="9">
        <v>465.0</v>
      </c>
      <c r="B465" s="9">
        <f t="shared" si="1"/>
        <v>2.700888263</v>
      </c>
      <c r="C465" s="9">
        <f t="shared" si="2"/>
        <v>-0.9044514111</v>
      </c>
      <c r="D465" s="9">
        <f t="shared" si="3"/>
        <v>0.4265766577</v>
      </c>
    </row>
    <row r="466" ht="14.25" customHeight="1">
      <c r="A466" s="9">
        <v>466.0</v>
      </c>
      <c r="B466" s="9">
        <f t="shared" si="1"/>
        <v>2.713479817</v>
      </c>
      <c r="C466" s="9">
        <f t="shared" si="2"/>
        <v>-0.9097508339</v>
      </c>
      <c r="D466" s="9">
        <f t="shared" si="3"/>
        <v>0.4151546943</v>
      </c>
    </row>
    <row r="467" ht="14.25" customHeight="1">
      <c r="A467" s="9">
        <v>467.0</v>
      </c>
      <c r="B467" s="9">
        <f t="shared" si="1"/>
        <v>2.726071371</v>
      </c>
      <c r="C467" s="9">
        <f t="shared" si="2"/>
        <v>-0.9149060201</v>
      </c>
      <c r="D467" s="9">
        <f t="shared" si="3"/>
        <v>0.4036669102</v>
      </c>
    </row>
    <row r="468" ht="14.25" customHeight="1">
      <c r="A468" s="9">
        <v>468.0</v>
      </c>
      <c r="B468" s="9">
        <f t="shared" si="1"/>
        <v>2.738662924</v>
      </c>
      <c r="C468" s="9">
        <f t="shared" si="2"/>
        <v>-0.9199161524</v>
      </c>
      <c r="D468" s="9">
        <f t="shared" si="3"/>
        <v>0.3921151266</v>
      </c>
    </row>
    <row r="469" ht="14.25" customHeight="1">
      <c r="A469" s="9">
        <v>469.0</v>
      </c>
      <c r="B469" s="9">
        <f t="shared" si="1"/>
        <v>2.751254478</v>
      </c>
      <c r="C469" s="9">
        <f t="shared" si="2"/>
        <v>-0.9247804365</v>
      </c>
      <c r="D469" s="9">
        <f t="shared" si="3"/>
        <v>0.380501175</v>
      </c>
    </row>
    <row r="470" ht="14.25" customHeight="1">
      <c r="A470" s="9">
        <v>470.0</v>
      </c>
      <c r="B470" s="9">
        <f t="shared" si="1"/>
        <v>2.763846032</v>
      </c>
      <c r="C470" s="9">
        <f t="shared" si="2"/>
        <v>-0.9294981012</v>
      </c>
      <c r="D470" s="9">
        <f t="shared" si="3"/>
        <v>0.3688268969</v>
      </c>
    </row>
    <row r="471" ht="14.25" customHeight="1">
      <c r="A471" s="9">
        <v>471.0</v>
      </c>
      <c r="B471" s="9">
        <f t="shared" si="1"/>
        <v>2.776437585</v>
      </c>
      <c r="C471" s="9">
        <f t="shared" si="2"/>
        <v>-0.9340683985</v>
      </c>
      <c r="D471" s="9">
        <f t="shared" si="3"/>
        <v>0.3570941431</v>
      </c>
    </row>
    <row r="472" ht="14.25" customHeight="1">
      <c r="A472" s="9">
        <v>472.0</v>
      </c>
      <c r="B472" s="9">
        <f t="shared" si="1"/>
        <v>2.789029139</v>
      </c>
      <c r="C472" s="9">
        <f t="shared" si="2"/>
        <v>-0.9384906037</v>
      </c>
      <c r="D472" s="9">
        <f t="shared" si="3"/>
        <v>0.3453047737</v>
      </c>
    </row>
    <row r="473" ht="14.25" customHeight="1">
      <c r="A473" s="9">
        <v>473.0</v>
      </c>
      <c r="B473" s="9">
        <f t="shared" si="1"/>
        <v>2.801620693</v>
      </c>
      <c r="C473" s="9">
        <f t="shared" si="2"/>
        <v>-0.9427640159</v>
      </c>
      <c r="D473" s="9">
        <f t="shared" si="3"/>
        <v>0.3334606579</v>
      </c>
    </row>
    <row r="474" ht="14.25" customHeight="1">
      <c r="A474" s="9">
        <v>474.0</v>
      </c>
      <c r="B474" s="9">
        <f t="shared" si="1"/>
        <v>2.814212247</v>
      </c>
      <c r="C474" s="9">
        <f t="shared" si="2"/>
        <v>-0.9468879574</v>
      </c>
      <c r="D474" s="9">
        <f t="shared" si="3"/>
        <v>0.3215636736</v>
      </c>
    </row>
    <row r="475" ht="14.25" customHeight="1">
      <c r="A475" s="9">
        <v>475.0</v>
      </c>
      <c r="B475" s="9">
        <f t="shared" si="1"/>
        <v>2.8268038</v>
      </c>
      <c r="C475" s="9">
        <f t="shared" si="2"/>
        <v>-0.9508617744</v>
      </c>
      <c r="D475" s="9">
        <f t="shared" si="3"/>
        <v>0.3096157069</v>
      </c>
    </row>
    <row r="476" ht="14.25" customHeight="1">
      <c r="A476" s="9">
        <v>476.0</v>
      </c>
      <c r="B476" s="9">
        <f t="shared" si="1"/>
        <v>2.839395354</v>
      </c>
      <c r="C476" s="9">
        <f t="shared" si="2"/>
        <v>-0.9546848369</v>
      </c>
      <c r="D476" s="9">
        <f t="shared" si="3"/>
        <v>0.2976186521</v>
      </c>
    </row>
    <row r="477" ht="14.25" customHeight="1">
      <c r="A477" s="9">
        <v>477.0</v>
      </c>
      <c r="B477" s="9">
        <f t="shared" si="1"/>
        <v>2.851986908</v>
      </c>
      <c r="C477" s="9">
        <f t="shared" si="2"/>
        <v>-0.9583565388</v>
      </c>
      <c r="D477" s="9">
        <f t="shared" si="3"/>
        <v>0.2855744114</v>
      </c>
    </row>
    <row r="478" ht="14.25" customHeight="1">
      <c r="A478" s="9">
        <v>478.0</v>
      </c>
      <c r="B478" s="9">
        <f t="shared" si="1"/>
        <v>2.864578461</v>
      </c>
      <c r="C478" s="9">
        <f t="shared" si="2"/>
        <v>-0.961876298</v>
      </c>
      <c r="D478" s="9">
        <f t="shared" si="3"/>
        <v>0.2734848942</v>
      </c>
    </row>
    <row r="479" ht="14.25" customHeight="1">
      <c r="A479" s="9">
        <v>479.0</v>
      </c>
      <c r="B479" s="9">
        <f t="shared" si="1"/>
        <v>2.877170015</v>
      </c>
      <c r="C479" s="9">
        <f t="shared" si="2"/>
        <v>-0.9652435563</v>
      </c>
      <c r="D479" s="9">
        <f t="shared" si="3"/>
        <v>0.2613520174</v>
      </c>
    </row>
    <row r="480" ht="14.25" customHeight="1">
      <c r="A480" s="9">
        <v>480.0</v>
      </c>
      <c r="B480" s="9">
        <f t="shared" si="1"/>
        <v>2.889761569</v>
      </c>
      <c r="C480" s="9">
        <f t="shared" si="2"/>
        <v>-0.96845778</v>
      </c>
      <c r="D480" s="9">
        <f t="shared" si="3"/>
        <v>0.2491777044</v>
      </c>
    </row>
    <row r="481" ht="14.25" customHeight="1">
      <c r="A481" s="9">
        <v>481.0</v>
      </c>
      <c r="B481" s="9">
        <f t="shared" si="1"/>
        <v>2.902353122</v>
      </c>
      <c r="C481" s="9">
        <f t="shared" si="2"/>
        <v>-0.9715184594</v>
      </c>
      <c r="D481" s="9">
        <f t="shared" si="3"/>
        <v>0.2369638855</v>
      </c>
    </row>
    <row r="482" ht="14.25" customHeight="1">
      <c r="A482" s="9">
        <v>482.0</v>
      </c>
      <c r="B482" s="9">
        <f t="shared" si="1"/>
        <v>2.914944676</v>
      </c>
      <c r="C482" s="9">
        <f t="shared" si="2"/>
        <v>-0.9744251093</v>
      </c>
      <c r="D482" s="9">
        <f t="shared" si="3"/>
        <v>0.2247124972</v>
      </c>
    </row>
    <row r="483" ht="14.25" customHeight="1">
      <c r="A483" s="9">
        <v>483.0</v>
      </c>
      <c r="B483" s="9">
        <f t="shared" si="1"/>
        <v>2.92753623</v>
      </c>
      <c r="C483" s="9">
        <f t="shared" si="2"/>
        <v>-0.9771772688</v>
      </c>
      <c r="D483" s="9">
        <f t="shared" si="3"/>
        <v>0.2124254818</v>
      </c>
    </row>
    <row r="484" ht="14.25" customHeight="1">
      <c r="A484" s="9">
        <v>484.0</v>
      </c>
      <c r="B484" s="9">
        <f t="shared" si="1"/>
        <v>2.940127784</v>
      </c>
      <c r="C484" s="9">
        <f t="shared" si="2"/>
        <v>-0.9797745016</v>
      </c>
      <c r="D484" s="9">
        <f t="shared" si="3"/>
        <v>0.2001047873</v>
      </c>
    </row>
    <row r="485" ht="14.25" customHeight="1">
      <c r="A485" s="9">
        <v>485.0</v>
      </c>
      <c r="B485" s="9">
        <f t="shared" si="1"/>
        <v>2.952719337</v>
      </c>
      <c r="C485" s="9">
        <f t="shared" si="2"/>
        <v>-0.982216396</v>
      </c>
      <c r="D485" s="9">
        <f t="shared" si="3"/>
        <v>0.1877523673</v>
      </c>
    </row>
    <row r="486" ht="14.25" customHeight="1">
      <c r="A486" s="9">
        <v>486.0</v>
      </c>
      <c r="B486" s="9">
        <f t="shared" si="1"/>
        <v>2.965310891</v>
      </c>
      <c r="C486" s="9">
        <f t="shared" si="2"/>
        <v>-0.9845025647</v>
      </c>
      <c r="D486" s="9">
        <f t="shared" si="3"/>
        <v>0.17537018</v>
      </c>
    </row>
    <row r="487" ht="14.25" customHeight="1">
      <c r="A487" s="9">
        <v>487.0</v>
      </c>
      <c r="B487" s="9">
        <f t="shared" si="1"/>
        <v>2.977902445</v>
      </c>
      <c r="C487" s="9">
        <f t="shared" si="2"/>
        <v>-0.9866326454</v>
      </c>
      <c r="D487" s="9">
        <f t="shared" si="3"/>
        <v>0.1629601886</v>
      </c>
    </row>
    <row r="488" ht="14.25" customHeight="1">
      <c r="A488" s="9">
        <v>488.0</v>
      </c>
      <c r="B488" s="9">
        <f t="shared" si="1"/>
        <v>2.990493998</v>
      </c>
      <c r="C488" s="9">
        <f t="shared" si="2"/>
        <v>-0.9886063002</v>
      </c>
      <c r="D488" s="9">
        <f t="shared" si="3"/>
        <v>0.1505243606</v>
      </c>
    </row>
    <row r="489" ht="14.25" customHeight="1">
      <c r="A489" s="9">
        <v>489.0</v>
      </c>
      <c r="B489" s="9">
        <f t="shared" si="1"/>
        <v>3.003085552</v>
      </c>
      <c r="C489" s="9">
        <f t="shared" si="2"/>
        <v>-0.9904232164</v>
      </c>
      <c r="D489" s="9">
        <f t="shared" si="3"/>
        <v>0.1380646678</v>
      </c>
    </row>
    <row r="490" ht="14.25" customHeight="1">
      <c r="A490" s="9">
        <v>490.0</v>
      </c>
      <c r="B490" s="9">
        <f t="shared" si="1"/>
        <v>3.015677106</v>
      </c>
      <c r="C490" s="9">
        <f t="shared" si="2"/>
        <v>-0.9920831057</v>
      </c>
      <c r="D490" s="9">
        <f t="shared" si="3"/>
        <v>0.1255830855</v>
      </c>
    </row>
    <row r="491" ht="14.25" customHeight="1">
      <c r="A491" s="9">
        <v>491.0</v>
      </c>
      <c r="B491" s="9">
        <f t="shared" si="1"/>
        <v>3.028268659</v>
      </c>
      <c r="C491" s="9">
        <f t="shared" si="2"/>
        <v>-0.9935857051</v>
      </c>
      <c r="D491" s="9">
        <f t="shared" si="3"/>
        <v>0.1130815926</v>
      </c>
    </row>
    <row r="492" ht="14.25" customHeight="1">
      <c r="A492" s="9">
        <v>492.0</v>
      </c>
      <c r="B492" s="9">
        <f t="shared" si="1"/>
        <v>3.040860213</v>
      </c>
      <c r="C492" s="9">
        <f t="shared" si="2"/>
        <v>-0.9949307764</v>
      </c>
      <c r="D492" s="9">
        <f t="shared" si="3"/>
        <v>0.1005621711</v>
      </c>
    </row>
    <row r="493" ht="14.25" customHeight="1">
      <c r="A493" s="9">
        <v>493.0</v>
      </c>
      <c r="B493" s="9">
        <f t="shared" si="1"/>
        <v>3.053451767</v>
      </c>
      <c r="C493" s="9">
        <f t="shared" si="2"/>
        <v>-0.9961181062</v>
      </c>
      <c r="D493" s="9">
        <f t="shared" si="3"/>
        <v>0.08802680606</v>
      </c>
    </row>
    <row r="494" ht="14.25" customHeight="1">
      <c r="A494" s="9">
        <v>494.0</v>
      </c>
      <c r="B494" s="9">
        <f t="shared" si="1"/>
        <v>3.066043321</v>
      </c>
      <c r="C494" s="9">
        <f t="shared" si="2"/>
        <v>-0.9971475063</v>
      </c>
      <c r="D494" s="9">
        <f t="shared" si="3"/>
        <v>0.07547748475</v>
      </c>
    </row>
    <row r="495" ht="14.25" customHeight="1">
      <c r="A495" s="9">
        <v>495.0</v>
      </c>
      <c r="B495" s="9">
        <f t="shared" si="1"/>
        <v>3.078634874</v>
      </c>
      <c r="C495" s="9">
        <f t="shared" si="2"/>
        <v>-0.9980188135</v>
      </c>
      <c r="D495" s="9">
        <f t="shared" si="3"/>
        <v>0.06291619686</v>
      </c>
    </row>
    <row r="496" ht="14.25" customHeight="1">
      <c r="A496" s="9">
        <v>496.0</v>
      </c>
      <c r="B496" s="9">
        <f t="shared" si="1"/>
        <v>3.091226428</v>
      </c>
      <c r="C496" s="9">
        <f t="shared" si="2"/>
        <v>-0.9987318898</v>
      </c>
      <c r="D496" s="9">
        <f t="shared" si="3"/>
        <v>0.05034493391</v>
      </c>
    </row>
    <row r="497" ht="14.25" customHeight="1">
      <c r="A497" s="9">
        <v>497.0</v>
      </c>
      <c r="B497" s="9">
        <f t="shared" si="1"/>
        <v>3.103817982</v>
      </c>
      <c r="C497" s="9">
        <f t="shared" si="2"/>
        <v>-0.9992866219</v>
      </c>
      <c r="D497" s="9">
        <f t="shared" si="3"/>
        <v>0.03776568902</v>
      </c>
    </row>
    <row r="498" ht="14.25" customHeight="1">
      <c r="A498" s="9">
        <v>498.0</v>
      </c>
      <c r="B498" s="9">
        <f t="shared" si="1"/>
        <v>3.116409535</v>
      </c>
      <c r="C498" s="9">
        <f t="shared" si="2"/>
        <v>-0.999682922</v>
      </c>
      <c r="D498" s="9">
        <f t="shared" si="3"/>
        <v>0.02518045656</v>
      </c>
    </row>
    <row r="499" ht="14.25" customHeight="1">
      <c r="A499" s="9">
        <v>499.0</v>
      </c>
      <c r="B499" s="9">
        <f t="shared" si="1"/>
        <v>3.129001089</v>
      </c>
      <c r="C499" s="9">
        <f t="shared" si="2"/>
        <v>-0.9999207273</v>
      </c>
      <c r="D499" s="9">
        <f t="shared" si="3"/>
        <v>0.01259123187</v>
      </c>
    </row>
    <row r="500" ht="14.25" customHeight="1">
      <c r="A500" s="9">
        <v>500.0</v>
      </c>
      <c r="B500" s="9">
        <f t="shared" si="1"/>
        <v>3.141592643</v>
      </c>
      <c r="C500" s="9">
        <f t="shared" si="2"/>
        <v>-1</v>
      </c>
      <c r="D500" s="9">
        <f t="shared" si="3"/>
        <v>0.00000001088979319</v>
      </c>
    </row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4.25" customHeight="1">
      <c r="A1" s="9">
        <v>-0.24256974672514334</v>
      </c>
      <c r="B1" s="9">
        <v>-0.9009698447539466</v>
      </c>
    </row>
    <row r="2" ht="14.25" customHeight="1">
      <c r="A2" s="9">
        <v>0.403356093442138</v>
      </c>
      <c r="B2" s="9">
        <v>0.652723840993424</v>
      </c>
    </row>
    <row r="3" ht="14.25" customHeight="1">
      <c r="A3" s="9">
        <v>0.9499444043284966</v>
      </c>
      <c r="B3" s="9">
        <v>0.07337513395725014</v>
      </c>
    </row>
    <row r="4" ht="14.25" customHeight="1">
      <c r="A4" s="9">
        <v>-0.14649481921608892</v>
      </c>
      <c r="B4" s="9">
        <v>0.8707375638368774</v>
      </c>
    </row>
    <row r="5" ht="14.25" customHeight="1">
      <c r="A5" s="9">
        <v>0.8204247904243674</v>
      </c>
      <c r="B5" s="9">
        <v>0.09709930974282097</v>
      </c>
    </row>
    <row r="6" ht="14.25" customHeight="1">
      <c r="A6" s="9">
        <v>0.772498716260358</v>
      </c>
      <c r="B6" s="9">
        <v>-0.26869043972168405</v>
      </c>
    </row>
    <row r="7" ht="14.25" customHeight="1">
      <c r="A7" s="9">
        <v>-0.4890851847589529</v>
      </c>
      <c r="B7" s="9">
        <v>0.29913509403042854</v>
      </c>
    </row>
    <row r="8" ht="14.25" customHeight="1">
      <c r="A8" s="9">
        <v>-0.6601803075274811</v>
      </c>
      <c r="B8" s="9">
        <v>0.22686081093215954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